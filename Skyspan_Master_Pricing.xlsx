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4"/>
    <sheet state="visible" name="Products" sheetId="2" r:id="rId5"/>
    <sheet state="visible" name="Glass Lists" sheetId="3" r:id="rId6"/>
    <sheet state="visible" name="Labour &amp; Materials" sheetId="4" r:id="rId7"/>
    <sheet state="visible" name="Frames GSA" sheetId="5" r:id="rId8"/>
    <sheet state="visible" name="Fixed Values GSA" sheetId="6" r:id="rId9"/>
    <sheet state="visible" name="Circular Glass Matrix" sheetId="7" r:id="rId10"/>
  </sheets>
  <definedNames>
    <definedName hidden="1" localSheetId="2" name="Z_C33F59DB_3503_4537_8C76_24D61D887C6E_.wvu.FilterData">'Glass Lists'!$A$1:$K$41</definedName>
    <definedName hidden="1" localSheetId="6" name="Z_C33F59DB_3503_4537_8C76_24D61D887C6E_.wvu.FilterData">'Circular Glass Matrix'!$A$1:$K$64</definedName>
    <definedName hidden="1" localSheetId="1" name="Z_1BC413C2_73FA_47CF_99EE_DB2453ADDA23_.wvu.FilterData">Products!$A$1:$E$6</definedName>
    <definedName hidden="1" localSheetId="4" name="Z_0548F7AA_B9F3_4EF9_962A_393D3D3CF193_.wvu.FilterData">'Frames GSA'!$A$1:$G$13</definedName>
    <definedName hidden="1" localSheetId="5" name="Z_2D1E693C_557D_4EC5_9E7B_7BF4FB5DCEA7_.wvu.FilterData">'Fixed Values GSA'!$A$1:$C$8</definedName>
    <definedName hidden="1" localSheetId="3" name="Z_578106CC_DA9D_4433_989C_C2FD392FCB91_.wvu.FilterData">'Labour &amp; Materials'!$A$1:$C$14</definedName>
  </definedNames>
  <calcPr/>
  <customWorkbookViews>
    <customWorkbookView activeSheetId="0" maximized="1" windowHeight="0" windowWidth="0" guid="{C33F59DB-3503-4537-8C76-24D61D887C6E}" name="tblGlass filter view"/>
    <customWorkbookView activeSheetId="0" maximized="1" windowHeight="0" windowWidth="0" guid="{1BC413C2-73FA-47CF-99EE-DB2453ADDA23}" name="tblProducts filter view"/>
    <customWorkbookView activeSheetId="0" maximized="1" windowHeight="0" windowWidth="0" guid="{0548F7AA-B9F3-4EF9-962A-393D3D3CF193}" name="tblFrames filter view"/>
    <customWorkbookView activeSheetId="0" maximized="1" windowHeight="0" windowWidth="0" guid="{2D1E693C-557D-4EC5-9E7B-7BF4FB5DCEA7}" name="tblFixed filter view"/>
    <customWorkbookView activeSheetId="0" maximized="1" windowHeight="0" windowWidth="0" guid="{578106CC-DA9D-4433-989C-C2FD392FCB91}" name="tblLabour filter view"/>
  </customWorkbookViews>
  <extLst>
    <ext uri="GoogleSheetsCustomDataVersion2">
      <go:sheetsCustomData xmlns:go="http://customooxmlschemas.google.com/" r:id="rId11" roundtripDataChecksum="TLWit9ULTi8ayEqOxr0ncNZAXX0HB6RIvRg/DWWIh8Y="/>
    </ext>
  </extLst>
</workbook>
</file>

<file path=xl/sharedStrings.xml><?xml version="1.0" encoding="utf-8"?>
<sst xmlns="http://schemas.openxmlformats.org/spreadsheetml/2006/main" count="559" uniqueCount="142">
  <si>
    <t>Skyspan Master Pricing — Calculator Data Source</t>
  </si>
  <si>
    <t>This workbook is the single source of truth for all product calculators (GSA, GXL, GCXL, GSLHB, TGF...).</t>
  </si>
  <si>
    <t>Management edits BLUE cells only. Every save publishes automatically to the live calculator within ~1 minute.</t>
  </si>
  <si>
    <t>HOW IT IS STRUCTURED</t>
  </si>
  <si>
    <t>1. "Products" — one row per product. The Glass List column says which glass price list that product uses.</t>
  </si>
  <si>
    <t xml:space="preserve">   Several products can share one list (e.g. GSA, GXL and GSLHB all use STANDARD). Updating the STANDARD</t>
  </si>
  <si>
    <t xml:space="preserve">   list updates all three at once. PROJECT means glass is quoted per job and entered in the calculator.</t>
  </si>
  <si>
    <t>2. "Glass Lists" — the actual glass makeups and $/m2 rates, grouped by List Name.</t>
  </si>
  <si>
    <t>3. "Labour &amp; Materials" — shared rates used by the fabrication-style calculators.</t>
  </si>
  <si>
    <t>4. "Subframes GSA" — GSA-specific subframe pricing (SG and DG).</t>
  </si>
  <si>
    <t>5. "Fixed Values GSA" — GSA job constants (painting minutes, stock length etc.).</t>
  </si>
  <si>
    <t>RULES</t>
  </si>
  <si>
    <t>• Edit blue cells. Do not rename tabs, delete columns, or change List Names unless the calculator owner agrees.</t>
  </si>
  <si>
    <t>• To add a glass product: add a row to "Glass Lists" with the right List Name.</t>
  </si>
  <si>
    <t>• To add a whole new product line: add a row to "Products" (the calculator itself needs building first).</t>
  </si>
  <si>
    <t>• Update the "Last updated" date on this tab whenever you change pricing.</t>
  </si>
  <si>
    <t>Last updated:</t>
  </si>
  <si>
    <t>2026-06-19</t>
  </si>
  <si>
    <t>Item</t>
  </si>
  <si>
    <t>List Name</t>
  </si>
  <si>
    <t>Code</t>
  </si>
  <si>
    <t>Glass product (as shown in calculator)</t>
  </si>
  <si>
    <t>Value</t>
  </si>
  <si>
    <t>Supplier</t>
  </si>
  <si>
    <t>Product name</t>
  </si>
  <si>
    <t>Notes</t>
  </si>
  <si>
    <t>Rate $/m2</t>
  </si>
  <si>
    <t>Glass List</t>
  </si>
  <si>
    <t>Glazing</t>
  </si>
  <si>
    <t>Fabrication labour ($/min)</t>
  </si>
  <si>
    <t>Engine</t>
  </si>
  <si>
    <t>AS1288 type</t>
  </si>
  <si>
    <t>Lite 1 lam mm (AS1288)</t>
  </si>
  <si>
    <t>Lite 2 mm</t>
  </si>
  <si>
    <t>Total glass mm</t>
  </si>
  <si>
    <t>Max size A mm</t>
  </si>
  <si>
    <t>Applies to all fabrication-style engines</t>
  </si>
  <si>
    <t>Max size B mm</t>
  </si>
  <si>
    <t>GXLB</t>
  </si>
  <si>
    <t>Installation labour ($/min)</t>
  </si>
  <si>
    <t>GSA</t>
  </si>
  <si>
    <t xml:space="preserve">8mm Clear Toughened Monolithic + 12mm Argon + 13.52mm Clear Heat-Strengthened Laminate Low E
</t>
  </si>
  <si>
    <t>Bent &amp; Curved (Cooling Brothers)</t>
  </si>
  <si>
    <t>DG</t>
  </si>
  <si>
    <t>Double-sided tape ($/roll, 30.5m)</t>
  </si>
  <si>
    <t>Glass Skylight Architectural (custom flat glass roof)</t>
  </si>
  <si>
    <t>lam_hs</t>
  </si>
  <si>
    <t>STANDARD</t>
  </si>
  <si>
    <t>Custom fabricated roof — mullions/transoms, live calculator</t>
  </si>
  <si>
    <t>Glazing rubber ($/roll, 100m)</t>
  </si>
  <si>
    <t>GXL</t>
  </si>
  <si>
    <t>Glass Skylight XL (unit skylight)</t>
  </si>
  <si>
    <t>TBD</t>
  </si>
  <si>
    <t>Angle 40x40x3 ($)</t>
  </si>
  <si>
    <t>Calculator engine to be built — shares STANDARD glass</t>
  </si>
  <si>
    <t>8mm Clear Toughened Monolithic + 12mm Argon + 13.52mm Clear Heat-Strengthened Laminate Low E (oversize)</t>
  </si>
  <si>
    <t>GSLHB</t>
  </si>
  <si>
    <t>Glass Skylight Low-profile Hip/Box</t>
  </si>
  <si>
    <t>Rivet ($ each)</t>
  </si>
  <si>
    <t>Silicone ($ each)</t>
  </si>
  <si>
    <t>GCXL</t>
  </si>
  <si>
    <t>Cleat ($ each)</t>
  </si>
  <si>
    <t>Glass Skylight Commercial XL</t>
  </si>
  <si>
    <t>8mm Clear Toughened Monolithic Ultra Pro 52 Low E #2 + 12mm Argon + 13.52mm Clear Heat-Strengthened Laminate</t>
  </si>
  <si>
    <t>Own glass list — calculator engine to be built</t>
  </si>
  <si>
    <t>Zincalume flashing ($/m2)</t>
  </si>
  <si>
    <t>TGF</t>
  </si>
  <si>
    <t>Tailor-made Glass Feature</t>
  </si>
  <si>
    <t>PROJECT</t>
  </si>
  <si>
    <t>Single glaze side suite ($/pc)</t>
  </si>
  <si>
    <t>Glass quoted per job; estimator enters rate in the calculator</t>
  </si>
  <si>
    <t>Frame</t>
  </si>
  <si>
    <t>8mm Clear Toughened Monolithic Ultra Pro 52 Low E #2 + 12mm Argon + 13.52mm Clear Heat-Strengthened Laminate (oversize)</t>
  </si>
  <si>
    <t>Glass List values must match a List Name on the "Glass Lists" tab, or PROJECT for per-job quotes.</t>
  </si>
  <si>
    <t>Double glaze side suite ($/pc)</t>
  </si>
  <si>
    <t>SG $/pc</t>
  </si>
  <si>
    <t>Single glaze mullion suite ($/pc)</t>
  </si>
  <si>
    <t>DG $/pc</t>
  </si>
  <si>
    <t>Section width mm</t>
  </si>
  <si>
    <t>Frame type</t>
  </si>
  <si>
    <t>Double glaze mullion suite ($/pc)</t>
  </si>
  <si>
    <t>8mm Clear Toughened Monolithic + 12mm Argon + 13.52mm Clear Heat-Strengthened Laminate Low E</t>
  </si>
  <si>
    <t>National Glass</t>
  </si>
  <si>
    <t>SG max mullion span mm</t>
  </si>
  <si>
    <t>DG max mullion span mm</t>
  </si>
  <si>
    <t>Plant-on adapters — no subframe</t>
  </si>
  <si>
    <t>8mm Clear Toughened Monolithic Low E #2 (Duo Neutral 50) + 12mm Argon + 13.52mm Clear Heat-Strengthened Laminate</t>
  </si>
  <si>
    <t>Subframe</t>
  </si>
  <si>
    <t>50x25x3 Aluminium RHS</t>
  </si>
  <si>
    <t>12.38mm Clear Annealed Laminate</t>
  </si>
  <si>
    <t>Watson Glass</t>
  </si>
  <si>
    <t>SG</t>
  </si>
  <si>
    <t>lam_annealed</t>
  </si>
  <si>
    <t>50x50x3 Aluminium RHS</t>
  </si>
  <si>
    <t>Mainframe</t>
  </si>
  <si>
    <t>13.52mm Clear Heat-Strengthened Laminate Low E</t>
  </si>
  <si>
    <t>50x50x6 Aluminium RHS</t>
  </si>
  <si>
    <t>50x100x3 Aluminium RHS</t>
  </si>
  <si>
    <t>17.52mm Clear Heat-Strengthened Laminate Low E (oversize)</t>
  </si>
  <si>
    <t>50x100x6 Aluminium RHS</t>
  </si>
  <si>
    <t>21.52mm Clear Heat Strengthened Laminate Low E (oversize)</t>
  </si>
  <si>
    <t>50x150x3 Aluminium RHS</t>
  </si>
  <si>
    <t>50x150x6 Aluminium RHS</t>
  </si>
  <si>
    <t>Skylight Diam (mm)</t>
  </si>
  <si>
    <t>Glass Size (mm)</t>
  </si>
  <si>
    <t>Thermal Frame Type</t>
  </si>
  <si>
    <t>Painting minutes — DG</t>
  </si>
  <si>
    <t>Fixed Price ($)</t>
  </si>
  <si>
    <t>Default; estimator can override per job</t>
  </si>
  <si>
    <t>Lite 1 lam</t>
  </si>
  <si>
    <t>50x200x3 Aluminium RHS</t>
  </si>
  <si>
    <t>Painting minutes — SG</t>
  </si>
  <si>
    <t>Glass Makeup Description</t>
  </si>
  <si>
    <t>Paint / powdercoat ($)</t>
  </si>
  <si>
    <t>GCXLB</t>
  </si>
  <si>
    <t>Others ($)</t>
  </si>
  <si>
    <t>50x200x6 Aluminium RHS</t>
  </si>
  <si>
    <t>Non-Thermal</t>
  </si>
  <si>
    <t>Packaging ($)</t>
  </si>
  <si>
    <t>Estimator overrides for large jobs</t>
  </si>
  <si>
    <t>Packing labour (min)</t>
  </si>
  <si>
    <t>RHS stock length (mm)</t>
  </si>
  <si>
    <t>50x100x3 Steel RHS</t>
  </si>
  <si>
    <t>6mm Clear Toughened Monolithic Low E + 12mm Argon + 6.38mm Clear Annealed Laminate</t>
  </si>
  <si>
    <t>6mm Clear Toughened Low E + 12mm Argon + 12.38mm Clear Annealed Laminate</t>
  </si>
  <si>
    <t>Thermal</t>
  </si>
  <si>
    <t>!! PLACEHOLDER SPANS !! The max mullion span figures are stand-ins, not engineered values. Replace with real structural limits before anyone relies on this.</t>
  </si>
  <si>
    <t>Frame type: "Subframe" = offered when the building already has a main frame. "Mainframe" = offered when it does not (Skyspan supplies the structure). Use "Both" if an option suits either.</t>
  </si>
  <si>
    <t xml:space="preserve">6mm Clear Toughened Monolithic Low E + 12mm Argon + 12.38mm Clear Annealed Laminate
</t>
  </si>
  <si>
    <t>6mm Clear LowE Max #2 Toughened + 12mm Argon + 12.38mm Clear Annealed Laminate</t>
  </si>
  <si>
    <t>Max mullion span = the longest a mullion of this section may run. Mullions run with the fall, so this is compared against the actual roof LENGTH. Double glazing is heavier, so its limit is lower. Blank = no limit (the customer’s frame carries it).</t>
  </si>
  <si>
    <t xml:space="preserve">8mm Clear Toughened Monolithic + 12mm Argon + 13.52mm Clear Heat-Strengthened Laminate Low E
</t>
  </si>
  <si>
    <t xml:space="preserve">8mm Clear Toughened Monolithic + 12mm Argon + 13.52mm Clear Heat-Strengthened Laminate Low E (oversize)
</t>
  </si>
  <si>
    <t>17.52mm Clear Heat-Strengthened Laminate + 12mm Argon + 13.52mm Clear Heat-Strengthened Laminate Low E (oversize)</t>
  </si>
  <si>
    <t xml:space="preserve">17.52mm Clear Heat-Strengthened Laminate + 12mm Argon + 17.52mm Clear Heat-Strengthened Laminate Low E (oversize) </t>
  </si>
  <si>
    <t>10mm Clear Toughened Monolithic with 100mm Black Ceramic Frit Edge Border (surface #2) + 12mm Argon + 13.52mm Clear Heat Strengthened Laminate Low E</t>
  </si>
  <si>
    <t xml:space="preserve">10mm Clear Toughened Monolithic with 100mm Black Ceramic Frit Edge Border (surface #2) + 12mm Argon + 13.52mm Clear Heat Strengthened Laminate Low E (oversize) </t>
  </si>
  <si>
    <t>8mm Clear Toughened + 12mm Argon + 13.52mm Clear Heat-Strengthened Laminate Low E</t>
  </si>
  <si>
    <t>8mm Clear LowE Max #2 Toughened + 12mm Argon + 13.52mm Clear Heat-Strengthened Laminate</t>
  </si>
  <si>
    <t>17.52mm Clear Heat-Strengthened Laminate Low E</t>
  </si>
  <si>
    <t>13.52mm Clear Heat-Strengthened Laminate + 12mm Argon + 13.52mm Clear Toughened Laminate Low E</t>
  </si>
  <si>
    <t>13.52mm Clear Heat-Strengthened Laminate Low E #2 + 16mm Argon + 13.52mm Clear Toughened Laminate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</si>
</sst>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FF"/>
      <name val="Arial"/>
    </font>
    <font>
      <b/>
      <sz val="11.0"/>
      <color rgb="FFFFFFFF"/>
      <name val="Arial"/>
    </font>
    <font>
      <i/>
      <sz val="9.0"/>
      <color rgb="FF6B7B84"/>
      <name val="Arial"/>
    </font>
    <font>
      <sz val="10.0"/>
      <color rgb="FF000000"/>
      <name val="Arial"/>
    </font>
    <font>
      <b/>
      <i/>
      <sz val="9.0"/>
      <color rgb="FFB3261E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A2B33"/>
        <bgColor rgb="FF1A2B33"/>
      </patternFill>
    </fill>
    <fill>
      <patternFill patternType="solid">
        <fgColor rgb="FFEEF3F5"/>
        <bgColor rgb="FFEEF3F5"/>
      </patternFill>
    </fill>
  </fills>
  <borders count="3">
    <border/>
    <border>
      <left/>
      <right/>
      <top/>
      <bottom/>
    </border>
    <border>
      <left style="thin">
        <color rgb="FFD0D7DB"/>
      </left>
      <right style="thin">
        <color rgb="FFD0D7DB"/>
      </right>
      <top style="thin">
        <color rgb="FFD0D7DB"/>
      </top>
      <bottom style="thin">
        <color rgb="FFD0D7DB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Border="1" applyFill="1" applyFont="1"/>
    <xf borderId="2" fillId="3" fontId="4" numFmtId="0" xfId="0" applyAlignment="1" applyBorder="1" applyFill="1" applyFont="1">
      <alignment horizontal="left" readingOrder="0" shrinkToFit="0" vertical="center" wrapText="0"/>
    </xf>
    <xf borderId="2" fillId="3" fontId="4" numFmtId="49" xfId="0" applyAlignment="1" applyBorder="1" applyFont="1" applyNumberFormat="1">
      <alignment horizontal="left" readingOrder="0" shrinkToFit="0" vertical="center" wrapText="0"/>
    </xf>
    <xf borderId="2" fillId="0" fontId="2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5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readingOrder="0" shrinkToFit="0" vertical="center" wrapText="0"/>
    </xf>
    <xf borderId="2" fillId="4" fontId="2" numFmtId="0" xfId="0" applyAlignment="1" applyBorder="1" applyFill="1" applyFont="1">
      <alignment shrinkToFit="0" vertical="center" wrapText="0"/>
    </xf>
    <xf borderId="2" fillId="4" fontId="3" numFmtId="0" xfId="0" applyAlignment="1" applyBorder="1" applyFont="1">
      <alignment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2" fillId="2" fontId="3" numFmtId="0" xfId="0" applyAlignment="1" applyBorder="1" applyFont="1">
      <alignment readingOrder="0" shrinkToFit="0" vertical="center" wrapText="0"/>
    </xf>
    <xf borderId="0" fillId="0" fontId="5" numFmtId="0" xfId="0" applyFont="1"/>
    <xf borderId="2" fillId="2" fontId="3" numFmtId="0" xfId="0" applyAlignment="1" applyBorder="1" applyFont="1">
      <alignment shrinkToFit="0" vertical="center" wrapText="0"/>
    </xf>
    <xf borderId="0" fillId="0" fontId="7" numFmtId="0" xfId="0" applyFont="1"/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6">
    <tableStyle count="4" pivot="0" name="Product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Glass List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Labour &amp; Materials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Frames GSA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Circular Glass Matrix-style">
      <tableStyleElement dxfId="1" type="headerRow"/>
      <tableStyleElement dxfId="2" type="firstRowStripe"/>
      <tableStyleElement dxfId="2" type="secondRowStripe"/>
      <tableStyleElement dxfId="3" size="0" type="wholeTable"/>
    </tableStyle>
    <tableStyle count="4" pivot="0" name="Fixed Values GSA-style">
      <tableStyleElement dxfId="1" type="headerRow"/>
      <tableStyleElement dxfId="2" type="firstRowStripe"/>
      <tableStyleElement dxfId="2" type="secondRow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6" displayName="tblProducts" name="tblProducts" id="1">
  <tableColumns count="5">
    <tableColumn name="Code" id="1"/>
    <tableColumn name="Product name" id="2"/>
    <tableColumn name="Glass List" id="3"/>
    <tableColumn name="Engine" id="4"/>
    <tableColumn name="Notes" id="5"/>
  </tableColumns>
  <tableStyleInfo name="Products-style" showColumnStripes="0" showFirstColumn="1" showLastColumn="1" showRowStripes="1"/>
</table>
</file>

<file path=xl/tables/table2.xml><?xml version="1.0" encoding="utf-8"?>
<table xmlns="http://schemas.openxmlformats.org/spreadsheetml/2006/main" ref="A1:K41" displayName="tblGlass" name="tblGlass" id="3">
  <tableColumns count="11">
    <tableColumn name="List Name" id="1"/>
    <tableColumn name="Glass product (as shown in calculator)" id="2"/>
    <tableColumn name="Supplier" id="3"/>
    <tableColumn name="Rate $/m2" id="4"/>
    <tableColumn name="Glazing" id="5"/>
    <tableColumn name="AS1288 type" id="6"/>
    <tableColumn name="Lite 1 lam mm (AS1288)" id="7"/>
    <tableColumn name="Lite 2 mm" id="8"/>
    <tableColumn name="Total glass mm" id="9"/>
    <tableColumn name="Max size A mm" id="10"/>
    <tableColumn name="Max size B mm" id="11"/>
  </tableColumns>
  <tableStyleInfo name="Glass Lists-style" showColumnStripes="0" showFirstColumn="1" showLastColumn="1" showRowStripes="1"/>
</table>
</file>

<file path=xl/tables/table3.xml><?xml version="1.0" encoding="utf-8"?>
<table xmlns="http://schemas.openxmlformats.org/spreadsheetml/2006/main" ref="A1:C14" displayName="tblLabour" name="tblLabour" id="2">
  <tableColumns count="3">
    <tableColumn name="Item" id="1"/>
    <tableColumn name="Value" id="2"/>
    <tableColumn name="Notes" id="3"/>
  </tableColumns>
  <tableStyleInfo name="Labour &amp; Materials-style" showColumnStripes="0" showFirstColumn="1" showLastColumn="1" showRowStripes="1"/>
</table>
</file>

<file path=xl/tables/table4.xml><?xml version="1.0" encoding="utf-8"?>
<table xmlns="http://schemas.openxmlformats.org/spreadsheetml/2006/main" ref="A1:G13" displayName="tblFrames" name="tblFrames" id="4">
  <tableColumns count="7">
    <tableColumn name="Frame" id="1"/>
    <tableColumn name="SG $/pc" id="2"/>
    <tableColumn name="DG $/pc" id="3"/>
    <tableColumn name="Section width mm" id="4"/>
    <tableColumn name="Frame type" id="5"/>
    <tableColumn name="SG max mullion span mm" id="6"/>
    <tableColumn name="DG max mullion span mm" id="7"/>
  </tableColumns>
  <tableStyleInfo name="Frames GSA-style" showColumnStripes="0" showFirstColumn="1" showLastColumn="1" showRowStripes="1"/>
</table>
</file>

<file path=xl/tables/table5.xml><?xml version="1.0" encoding="utf-8"?>
<table xmlns="http://schemas.openxmlformats.org/spreadsheetml/2006/main" ref="A1:C8" displayName="tblFixed" name="tblFixed" id="6">
  <tableColumns count="3">
    <tableColumn name="Item" id="1"/>
    <tableColumn name="Value" id="2"/>
    <tableColumn name="Notes" id="3"/>
  </tableColumns>
  <tableStyleInfo name="Fixed Values GSA-style" showColumnStripes="0" showFirstColumn="1" showLastColumn="1" showRowStripes="1"/>
</table>
</file>

<file path=xl/tables/table6.xml><?xml version="1.0" encoding="utf-8"?>
<table xmlns="http://schemas.openxmlformats.org/spreadsheetml/2006/main" ref="A1:K64" displayName="tblGlass_2" name="tblGlass_2" id="5">
  <tableColumns count="11">
    <tableColumn name="List Name" id="1"/>
    <tableColumn name="Skylight Diam (mm)" id="2"/>
    <tableColumn name="Glass Size (mm)" id="3"/>
    <tableColumn name="Glazing" id="4"/>
    <tableColumn name="Thermal Frame Type" id="5"/>
    <tableColumn name="Fixed Price ($)" id="6"/>
    <tableColumn name="AS1288 type" id="7"/>
    <tableColumn name="Lite 1 lam" id="8"/>
    <tableColumn name="Lite 2 mm" id="9"/>
    <tableColumn name="Total glass mm" id="10"/>
    <tableColumn name="Glass Makeup Description" id="11"/>
  </tableColumns>
  <tableStyleInfo name="Circular Glass Matrix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5.0" customHeight="1">
      <c r="A1" s="1" t="s">
        <v>0</v>
      </c>
    </row>
    <row r="2" ht="15.0" customHeight="1">
      <c r="A2" s="2"/>
    </row>
    <row r="3" ht="15.0" customHeight="1">
      <c r="A3" s="2" t="s">
        <v>1</v>
      </c>
    </row>
    <row r="4" ht="15.0" customHeight="1">
      <c r="A4" s="2" t="s">
        <v>2</v>
      </c>
    </row>
    <row r="5" ht="15.0" customHeight="1">
      <c r="A5" s="2"/>
    </row>
    <row r="6" ht="15.0" customHeight="1">
      <c r="A6" s="1" t="s">
        <v>3</v>
      </c>
    </row>
    <row r="7" ht="15.0" customHeight="1">
      <c r="A7" s="2" t="s">
        <v>4</v>
      </c>
    </row>
    <row r="8" ht="15.0" customHeight="1">
      <c r="A8" s="2" t="s">
        <v>5</v>
      </c>
    </row>
    <row r="9" ht="15.0" customHeight="1">
      <c r="A9" s="2" t="s">
        <v>6</v>
      </c>
    </row>
    <row r="10" ht="15.0" customHeight="1">
      <c r="A10" s="2" t="s">
        <v>7</v>
      </c>
    </row>
    <row r="11" ht="15.0" customHeight="1">
      <c r="A11" s="2" t="s">
        <v>8</v>
      </c>
    </row>
    <row r="12" ht="15.0" customHeight="1">
      <c r="A12" s="2" t="s">
        <v>9</v>
      </c>
    </row>
    <row r="13" ht="15.0" customHeight="1">
      <c r="A13" s="2" t="s">
        <v>10</v>
      </c>
    </row>
    <row r="14" ht="15.0" customHeight="1">
      <c r="A14" s="2"/>
    </row>
    <row r="15" ht="15.0" customHeight="1">
      <c r="A15" s="1" t="s">
        <v>11</v>
      </c>
    </row>
    <row r="16" ht="15.0" customHeight="1">
      <c r="A16" s="2" t="s">
        <v>12</v>
      </c>
    </row>
    <row r="17" ht="15.0" customHeight="1">
      <c r="A17" s="2" t="s">
        <v>13</v>
      </c>
    </row>
    <row r="18" ht="15.0" customHeight="1">
      <c r="A18" s="2" t="s">
        <v>14</v>
      </c>
    </row>
    <row r="19" ht="15.0" customHeight="1">
      <c r="A19" s="2" t="s">
        <v>15</v>
      </c>
    </row>
    <row r="20" ht="15.0" customHeight="1">
      <c r="A20" s="2"/>
    </row>
    <row r="21" ht="15.0" customHeight="1">
      <c r="A21" s="1" t="s">
        <v>16</v>
      </c>
      <c r="B21" s="3" t="s">
        <v>17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2.0"/>
    <col customWidth="1" min="3" max="3" width="16.0"/>
    <col customWidth="1" min="4" max="4" width="18.0"/>
    <col customWidth="1" min="5" max="5" width="40.0"/>
    <col customWidth="1" min="6" max="26" width="8.71"/>
  </cols>
  <sheetData>
    <row r="1" ht="15.0" customHeight="1">
      <c r="A1" s="4" t="s">
        <v>20</v>
      </c>
      <c r="B1" s="4" t="s">
        <v>24</v>
      </c>
      <c r="C1" s="4" t="s">
        <v>27</v>
      </c>
      <c r="D1" s="4" t="s">
        <v>30</v>
      </c>
      <c r="E1" s="4" t="s">
        <v>25</v>
      </c>
    </row>
    <row r="2" ht="15.0" customHeight="1">
      <c r="A2" s="10" t="s">
        <v>40</v>
      </c>
      <c r="B2" s="10" t="s">
        <v>45</v>
      </c>
      <c r="C2" s="11" t="s">
        <v>47</v>
      </c>
      <c r="D2" s="10" t="s">
        <v>40</v>
      </c>
      <c r="E2" s="10" t="s">
        <v>48</v>
      </c>
    </row>
    <row r="3" ht="15.0" customHeight="1">
      <c r="A3" s="6" t="s">
        <v>50</v>
      </c>
      <c r="B3" s="6" t="s">
        <v>51</v>
      </c>
      <c r="C3" s="7" t="s">
        <v>47</v>
      </c>
      <c r="D3" s="6" t="s">
        <v>52</v>
      </c>
      <c r="E3" s="6" t="s">
        <v>54</v>
      </c>
    </row>
    <row r="4" ht="15.0" customHeight="1">
      <c r="A4" s="10" t="s">
        <v>56</v>
      </c>
      <c r="B4" s="10" t="s">
        <v>57</v>
      </c>
      <c r="C4" s="11" t="s">
        <v>47</v>
      </c>
      <c r="D4" s="10" t="s">
        <v>52</v>
      </c>
      <c r="E4" s="10" t="s">
        <v>54</v>
      </c>
    </row>
    <row r="5" ht="15.0" customHeight="1">
      <c r="A5" s="6" t="s">
        <v>60</v>
      </c>
      <c r="B5" s="6" t="s">
        <v>62</v>
      </c>
      <c r="C5" s="7" t="s">
        <v>60</v>
      </c>
      <c r="D5" s="6" t="s">
        <v>52</v>
      </c>
      <c r="E5" s="6" t="s">
        <v>64</v>
      </c>
    </row>
    <row r="6" ht="15.0" customHeight="1">
      <c r="A6" s="10" t="s">
        <v>66</v>
      </c>
      <c r="B6" s="10" t="s">
        <v>67</v>
      </c>
      <c r="C6" s="11" t="s">
        <v>68</v>
      </c>
      <c r="D6" s="10" t="s">
        <v>52</v>
      </c>
      <c r="E6" s="10" t="s">
        <v>70</v>
      </c>
    </row>
    <row r="8" ht="15.0" customHeight="1">
      <c r="A8" s="14" t="s">
        <v>73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BC413C2-73FA-47CF-99EE-DB2453ADDA23}" filter="1" showAutoFilter="1">
      <autoFilter ref="$A$1:$E$6"/>
      <extLst>
        <ext uri="GoogleSheetsCustomDataVersion1">
          <go:sheetsCustomData xmlns:go="http://customooxmlschemas.google.com/" filterViewId="1376993667"/>
        </ext>
      </extLst>
    </customSheetView>
  </customSheetView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11.43"/>
    <col customWidth="1" min="3" max="3" width="15.71"/>
    <col customWidth="1" min="4" max="5" width="11.0"/>
    <col customWidth="1" min="6" max="6" width="13.29"/>
    <col customWidth="1" min="7" max="7" width="9.57"/>
    <col customWidth="1" min="8" max="8" width="15.0"/>
    <col customWidth="1" min="9" max="9" width="17.71"/>
    <col customWidth="1" min="10" max="10" width="14.43"/>
    <col customWidth="1" min="11" max="11" width="18.57"/>
    <col customWidth="1" min="12" max="27" width="8.71"/>
  </cols>
  <sheetData>
    <row r="1" ht="15.0" customHeight="1">
      <c r="A1" s="4" t="s">
        <v>19</v>
      </c>
      <c r="B1" s="4" t="s">
        <v>21</v>
      </c>
      <c r="C1" s="5" t="s">
        <v>23</v>
      </c>
      <c r="D1" s="4" t="s">
        <v>26</v>
      </c>
      <c r="E1" s="4" t="s">
        <v>28</v>
      </c>
      <c r="F1" s="4" t="s">
        <v>31</v>
      </c>
      <c r="G1" s="4" t="s">
        <v>32</v>
      </c>
      <c r="H1" s="4" t="s">
        <v>33</v>
      </c>
      <c r="I1" s="4" t="s">
        <v>34</v>
      </c>
      <c r="J1" s="4" t="s">
        <v>35</v>
      </c>
      <c r="K1" s="4" t="s">
        <v>37</v>
      </c>
    </row>
    <row r="2" ht="15.0" customHeight="1">
      <c r="A2" s="9" t="s">
        <v>38</v>
      </c>
      <c r="B2" s="9" t="s">
        <v>41</v>
      </c>
      <c r="C2" s="9" t="s">
        <v>42</v>
      </c>
      <c r="D2" s="9">
        <v>468.0</v>
      </c>
      <c r="E2" s="9" t="s">
        <v>43</v>
      </c>
      <c r="F2" s="9" t="s">
        <v>46</v>
      </c>
      <c r="G2" s="9">
        <v>8.0</v>
      </c>
      <c r="H2" s="9">
        <v>13.52</v>
      </c>
      <c r="I2" s="12">
        <f t="shared" ref="I2:I23" si="1">G2+H2</f>
        <v>21.52</v>
      </c>
      <c r="J2" s="13">
        <v>2000.0</v>
      </c>
      <c r="K2" s="13">
        <v>4500.0</v>
      </c>
    </row>
    <row r="3" ht="15.0" customHeight="1">
      <c r="A3" s="9" t="s">
        <v>38</v>
      </c>
      <c r="B3" s="9" t="s">
        <v>55</v>
      </c>
      <c r="C3" s="9" t="s">
        <v>42</v>
      </c>
      <c r="D3" s="9">
        <v>645.0</v>
      </c>
      <c r="E3" s="9" t="s">
        <v>43</v>
      </c>
      <c r="F3" s="9" t="s">
        <v>46</v>
      </c>
      <c r="G3" s="9">
        <v>8.0</v>
      </c>
      <c r="H3" s="9">
        <v>13.52</v>
      </c>
      <c r="I3" s="12">
        <f t="shared" si="1"/>
        <v>21.52</v>
      </c>
      <c r="J3" s="13">
        <v>2000.0</v>
      </c>
      <c r="K3" s="13">
        <v>4500.0</v>
      </c>
    </row>
    <row r="4" ht="15.0" customHeight="1">
      <c r="A4" s="9" t="s">
        <v>50</v>
      </c>
      <c r="B4" s="9" t="s">
        <v>63</v>
      </c>
      <c r="C4" s="9" t="s">
        <v>42</v>
      </c>
      <c r="D4" s="9">
        <v>550.0</v>
      </c>
      <c r="E4" s="9" t="s">
        <v>43</v>
      </c>
      <c r="F4" s="9" t="s">
        <v>46</v>
      </c>
      <c r="G4" s="9">
        <v>8.0</v>
      </c>
      <c r="H4" s="9">
        <v>13.52</v>
      </c>
      <c r="I4" s="12">
        <f t="shared" si="1"/>
        <v>21.52</v>
      </c>
      <c r="J4" s="13">
        <v>2000.0</v>
      </c>
      <c r="K4" s="13">
        <v>4500.0</v>
      </c>
    </row>
    <row r="5" ht="15.0" customHeight="1">
      <c r="A5" s="9" t="s">
        <v>50</v>
      </c>
      <c r="B5" s="9" t="s">
        <v>72</v>
      </c>
      <c r="C5" s="9" t="s">
        <v>42</v>
      </c>
      <c r="D5" s="9">
        <v>706.0</v>
      </c>
      <c r="E5" s="9" t="s">
        <v>43</v>
      </c>
      <c r="F5" s="9" t="s">
        <v>46</v>
      </c>
      <c r="G5" s="9">
        <v>8.0</v>
      </c>
      <c r="H5" s="9">
        <v>13.52</v>
      </c>
      <c r="I5" s="12">
        <f t="shared" si="1"/>
        <v>21.52</v>
      </c>
      <c r="J5" s="13">
        <v>2000.0</v>
      </c>
      <c r="K5" s="13">
        <v>4500.0</v>
      </c>
    </row>
    <row r="6" ht="15.0" customHeight="1">
      <c r="A6" s="9" t="s">
        <v>38</v>
      </c>
      <c r="B6" s="9" t="s">
        <v>81</v>
      </c>
      <c r="C6" s="9" t="s">
        <v>82</v>
      </c>
      <c r="D6" s="9">
        <v>418.0</v>
      </c>
      <c r="E6" s="9" t="s">
        <v>43</v>
      </c>
      <c r="F6" s="9" t="s">
        <v>46</v>
      </c>
      <c r="G6" s="9">
        <v>8.0</v>
      </c>
      <c r="H6" s="9">
        <v>13.52</v>
      </c>
      <c r="I6" s="12">
        <f t="shared" si="1"/>
        <v>21.52</v>
      </c>
      <c r="J6" s="13">
        <v>2000.0</v>
      </c>
      <c r="K6" s="13">
        <v>4500.0</v>
      </c>
    </row>
    <row r="7" ht="15.0" customHeight="1">
      <c r="A7" s="9" t="s">
        <v>50</v>
      </c>
      <c r="B7" s="9" t="s">
        <v>86</v>
      </c>
      <c r="C7" s="9" t="s">
        <v>82</v>
      </c>
      <c r="D7" s="9">
        <v>458.0</v>
      </c>
      <c r="E7" s="9" t="s">
        <v>43</v>
      </c>
      <c r="F7" s="9" t="s">
        <v>46</v>
      </c>
      <c r="G7" s="9">
        <v>8.0</v>
      </c>
      <c r="H7" s="9">
        <v>13.52</v>
      </c>
      <c r="I7" s="12">
        <f t="shared" si="1"/>
        <v>21.52</v>
      </c>
      <c r="J7" s="13">
        <v>2000.0</v>
      </c>
      <c r="K7" s="13">
        <v>4500.0</v>
      </c>
    </row>
    <row r="8" ht="15.0" customHeight="1">
      <c r="A8" s="9" t="s">
        <v>50</v>
      </c>
      <c r="B8" s="9" t="s">
        <v>89</v>
      </c>
      <c r="C8" s="9" t="s">
        <v>90</v>
      </c>
      <c r="D8" s="9">
        <v>102.0</v>
      </c>
      <c r="E8" s="9" t="s">
        <v>91</v>
      </c>
      <c r="F8" s="9" t="s">
        <v>92</v>
      </c>
      <c r="G8" s="9"/>
      <c r="H8" s="9">
        <v>12.38</v>
      </c>
      <c r="I8" s="12">
        <f t="shared" si="1"/>
        <v>12.38</v>
      </c>
      <c r="J8" s="13">
        <v>2000.0</v>
      </c>
      <c r="K8" s="13">
        <v>4500.0</v>
      </c>
    </row>
    <row r="9" ht="15.0" customHeight="1">
      <c r="A9" s="9" t="s">
        <v>50</v>
      </c>
      <c r="B9" s="9" t="s">
        <v>95</v>
      </c>
      <c r="C9" s="9" t="s">
        <v>90</v>
      </c>
      <c r="D9" s="9">
        <v>245.0</v>
      </c>
      <c r="E9" s="9" t="s">
        <v>91</v>
      </c>
      <c r="F9" s="9" t="s">
        <v>46</v>
      </c>
      <c r="G9" s="9"/>
      <c r="H9" s="9">
        <v>13.52</v>
      </c>
      <c r="I9" s="12">
        <f t="shared" si="1"/>
        <v>13.52</v>
      </c>
      <c r="J9" s="13">
        <v>2000.0</v>
      </c>
      <c r="K9" s="13">
        <v>4500.0</v>
      </c>
    </row>
    <row r="10" ht="15.0" customHeight="1">
      <c r="A10" s="9" t="s">
        <v>50</v>
      </c>
      <c r="B10" s="9" t="s">
        <v>98</v>
      </c>
      <c r="C10" s="9" t="s">
        <v>90</v>
      </c>
      <c r="D10" s="9">
        <v>336.0</v>
      </c>
      <c r="E10" s="9" t="s">
        <v>91</v>
      </c>
      <c r="F10" s="9" t="s">
        <v>46</v>
      </c>
      <c r="G10" s="9"/>
      <c r="H10" s="9">
        <v>17.52</v>
      </c>
      <c r="I10" s="12">
        <f t="shared" si="1"/>
        <v>17.52</v>
      </c>
      <c r="J10" s="13">
        <v>2000.0</v>
      </c>
      <c r="K10" s="13">
        <v>4500.0</v>
      </c>
    </row>
    <row r="11" ht="15.0" customHeight="1">
      <c r="A11" s="9" t="s">
        <v>50</v>
      </c>
      <c r="B11" s="9" t="s">
        <v>100</v>
      </c>
      <c r="C11" s="9" t="s">
        <v>90</v>
      </c>
      <c r="D11" s="9">
        <v>426.0</v>
      </c>
      <c r="E11" s="9" t="s">
        <v>91</v>
      </c>
      <c r="F11" s="9" t="s">
        <v>46</v>
      </c>
      <c r="G11" s="9"/>
      <c r="H11" s="9">
        <v>21.52</v>
      </c>
      <c r="I11" s="12">
        <f t="shared" si="1"/>
        <v>21.52</v>
      </c>
      <c r="J11" s="13">
        <v>2000.0</v>
      </c>
      <c r="K11" s="13">
        <v>4500.0</v>
      </c>
    </row>
    <row r="12" ht="15.0" customHeight="1">
      <c r="A12" s="9" t="s">
        <v>38</v>
      </c>
      <c r="B12" s="9" t="s">
        <v>89</v>
      </c>
      <c r="C12" s="9" t="s">
        <v>90</v>
      </c>
      <c r="D12" s="9">
        <v>102.0</v>
      </c>
      <c r="E12" s="9" t="s">
        <v>91</v>
      </c>
      <c r="F12" s="9" t="s">
        <v>92</v>
      </c>
      <c r="G12" s="9"/>
      <c r="H12" s="9">
        <v>12.38</v>
      </c>
      <c r="I12" s="12">
        <f t="shared" si="1"/>
        <v>12.38</v>
      </c>
      <c r="J12" s="13">
        <v>2000.0</v>
      </c>
      <c r="K12" s="13">
        <v>4500.0</v>
      </c>
    </row>
    <row r="13" ht="15.0" customHeight="1">
      <c r="A13" s="9" t="s">
        <v>38</v>
      </c>
      <c r="B13" s="9" t="s">
        <v>95</v>
      </c>
      <c r="C13" s="9" t="s">
        <v>90</v>
      </c>
      <c r="D13" s="9">
        <v>245.0</v>
      </c>
      <c r="E13" s="9" t="s">
        <v>91</v>
      </c>
      <c r="F13" s="9" t="s">
        <v>46</v>
      </c>
      <c r="G13" s="9"/>
      <c r="H13" s="9">
        <v>13.52</v>
      </c>
      <c r="I13" s="12">
        <f t="shared" si="1"/>
        <v>13.52</v>
      </c>
      <c r="J13" s="13">
        <v>2000.0</v>
      </c>
      <c r="K13" s="13">
        <v>4500.0</v>
      </c>
    </row>
    <row r="14" ht="15.0" customHeight="1">
      <c r="A14" s="9" t="s">
        <v>38</v>
      </c>
      <c r="B14" s="9" t="s">
        <v>98</v>
      </c>
      <c r="C14" s="9" t="s">
        <v>90</v>
      </c>
      <c r="D14" s="9">
        <v>336.0</v>
      </c>
      <c r="E14" s="9" t="s">
        <v>91</v>
      </c>
      <c r="F14" s="9" t="s">
        <v>46</v>
      </c>
      <c r="G14" s="9"/>
      <c r="H14" s="9">
        <v>17.52</v>
      </c>
      <c r="I14" s="12">
        <f t="shared" si="1"/>
        <v>17.52</v>
      </c>
      <c r="J14" s="13">
        <v>2000.0</v>
      </c>
      <c r="K14" s="13">
        <v>4500.0</v>
      </c>
    </row>
    <row r="15" ht="15.0" customHeight="1">
      <c r="A15" s="9" t="s">
        <v>38</v>
      </c>
      <c r="B15" s="9" t="s">
        <v>100</v>
      </c>
      <c r="C15" s="9" t="s">
        <v>90</v>
      </c>
      <c r="D15" s="9">
        <v>426.0</v>
      </c>
      <c r="E15" s="9" t="s">
        <v>91</v>
      </c>
      <c r="F15" s="9" t="s">
        <v>46</v>
      </c>
      <c r="G15" s="9"/>
      <c r="H15" s="9">
        <v>21.52</v>
      </c>
      <c r="I15" s="12">
        <f t="shared" si="1"/>
        <v>21.52</v>
      </c>
      <c r="J15" s="13">
        <v>2000.0</v>
      </c>
      <c r="K15" s="13">
        <v>4500.0</v>
      </c>
    </row>
    <row r="16" ht="15.0" customHeight="1">
      <c r="A16" s="9" t="s">
        <v>38</v>
      </c>
      <c r="B16" s="9" t="s">
        <v>123</v>
      </c>
      <c r="C16" s="9" t="s">
        <v>90</v>
      </c>
      <c r="D16" s="9">
        <v>173.0</v>
      </c>
      <c r="E16" s="9" t="s">
        <v>43</v>
      </c>
      <c r="F16" s="9" t="s">
        <v>92</v>
      </c>
      <c r="G16" s="9">
        <v>6.0</v>
      </c>
      <c r="H16" s="9">
        <v>6.38</v>
      </c>
      <c r="I16" s="12">
        <f t="shared" si="1"/>
        <v>12.38</v>
      </c>
      <c r="J16" s="13">
        <v>2000.0</v>
      </c>
      <c r="K16" s="13">
        <v>4500.0</v>
      </c>
    </row>
    <row r="17" ht="15.0" customHeight="1">
      <c r="A17" s="9" t="s">
        <v>38</v>
      </c>
      <c r="B17" s="9" t="s">
        <v>128</v>
      </c>
      <c r="C17" s="9" t="s">
        <v>90</v>
      </c>
      <c r="D17" s="9">
        <v>228.0</v>
      </c>
      <c r="E17" s="9" t="s">
        <v>43</v>
      </c>
      <c r="F17" s="9" t="s">
        <v>92</v>
      </c>
      <c r="G17" s="9">
        <v>6.0</v>
      </c>
      <c r="H17" s="9">
        <v>12.38</v>
      </c>
      <c r="I17" s="12">
        <f t="shared" si="1"/>
        <v>18.38</v>
      </c>
      <c r="J17" s="13">
        <v>2000.0</v>
      </c>
      <c r="K17" s="13">
        <v>4500.0</v>
      </c>
    </row>
    <row r="18" ht="15.0" customHeight="1">
      <c r="A18" s="9" t="s">
        <v>38</v>
      </c>
      <c r="B18" s="9" t="s">
        <v>131</v>
      </c>
      <c r="C18" s="9" t="s">
        <v>90</v>
      </c>
      <c r="D18" s="9">
        <v>370.0</v>
      </c>
      <c r="E18" s="9" t="s">
        <v>43</v>
      </c>
      <c r="F18" s="9" t="s">
        <v>46</v>
      </c>
      <c r="G18" s="9">
        <v>8.0</v>
      </c>
      <c r="H18" s="9">
        <v>13.52</v>
      </c>
      <c r="I18" s="12">
        <f t="shared" si="1"/>
        <v>21.52</v>
      </c>
      <c r="J18" s="13">
        <v>2000.0</v>
      </c>
      <c r="K18" s="13">
        <v>4500.0</v>
      </c>
    </row>
    <row r="19" ht="15.0" customHeight="1">
      <c r="A19" s="9" t="s">
        <v>38</v>
      </c>
      <c r="B19" s="9" t="s">
        <v>132</v>
      </c>
      <c r="C19" s="9" t="s">
        <v>90</v>
      </c>
      <c r="D19" s="9">
        <v>445.0</v>
      </c>
      <c r="E19" s="9" t="s">
        <v>43</v>
      </c>
      <c r="F19" s="9" t="s">
        <v>46</v>
      </c>
      <c r="G19" s="9">
        <v>8.0</v>
      </c>
      <c r="H19" s="9">
        <v>13.52</v>
      </c>
      <c r="I19" s="12">
        <f t="shared" si="1"/>
        <v>21.52</v>
      </c>
      <c r="J19" s="13">
        <v>2000.0</v>
      </c>
      <c r="K19" s="13">
        <v>4500.0</v>
      </c>
    </row>
    <row r="20" ht="15.0" customHeight="1">
      <c r="A20" s="9" t="s">
        <v>38</v>
      </c>
      <c r="B20" s="9" t="s">
        <v>133</v>
      </c>
      <c r="C20" s="9" t="s">
        <v>90</v>
      </c>
      <c r="D20" s="9">
        <v>660.0</v>
      </c>
      <c r="E20" s="9" t="s">
        <v>43</v>
      </c>
      <c r="F20" s="9" t="s">
        <v>46</v>
      </c>
      <c r="G20" s="9">
        <v>17.52</v>
      </c>
      <c r="H20" s="9">
        <v>13.52</v>
      </c>
      <c r="I20" s="12">
        <f t="shared" si="1"/>
        <v>31.04</v>
      </c>
      <c r="J20" s="13">
        <v>2000.0</v>
      </c>
      <c r="K20" s="13">
        <v>4500.0</v>
      </c>
    </row>
    <row r="21" ht="15.0" customHeight="1">
      <c r="A21" s="9" t="s">
        <v>38</v>
      </c>
      <c r="B21" s="9" t="s">
        <v>134</v>
      </c>
      <c r="C21" s="9" t="s">
        <v>90</v>
      </c>
      <c r="D21" s="9">
        <v>702.0</v>
      </c>
      <c r="E21" s="9" t="s">
        <v>43</v>
      </c>
      <c r="F21" s="9" t="s">
        <v>46</v>
      </c>
      <c r="G21" s="9">
        <v>17.52</v>
      </c>
      <c r="H21" s="9">
        <v>17.52</v>
      </c>
      <c r="I21" s="12">
        <f t="shared" si="1"/>
        <v>35.04</v>
      </c>
      <c r="J21" s="13">
        <v>2000.0</v>
      </c>
      <c r="K21" s="13">
        <v>4500.0</v>
      </c>
    </row>
    <row r="22" ht="15.0" customHeight="1">
      <c r="A22" s="9" t="s">
        <v>56</v>
      </c>
      <c r="B22" s="9" t="s">
        <v>135</v>
      </c>
      <c r="C22" s="9" t="s">
        <v>90</v>
      </c>
      <c r="D22" s="9">
        <v>550.0</v>
      </c>
      <c r="E22" s="9" t="s">
        <v>43</v>
      </c>
      <c r="F22" s="9" t="s">
        <v>46</v>
      </c>
      <c r="G22" s="9">
        <v>10.0</v>
      </c>
      <c r="H22" s="9">
        <v>13.52</v>
      </c>
      <c r="I22" s="12">
        <f t="shared" si="1"/>
        <v>23.52</v>
      </c>
      <c r="J22" s="13">
        <v>2000.0</v>
      </c>
      <c r="K22" s="13">
        <v>4500.0</v>
      </c>
    </row>
    <row r="23" ht="15.0" customHeight="1">
      <c r="A23" s="9" t="s">
        <v>56</v>
      </c>
      <c r="B23" s="9" t="s">
        <v>136</v>
      </c>
      <c r="C23" s="9" t="s">
        <v>90</v>
      </c>
      <c r="D23" s="9">
        <v>666.0</v>
      </c>
      <c r="E23" s="9" t="s">
        <v>43</v>
      </c>
      <c r="F23" s="9" t="s">
        <v>46</v>
      </c>
      <c r="G23" s="9">
        <v>10.0</v>
      </c>
      <c r="H23" s="9">
        <v>13.52</v>
      </c>
      <c r="I23" s="12">
        <f t="shared" si="1"/>
        <v>23.52</v>
      </c>
      <c r="J23" s="13">
        <v>2000.0</v>
      </c>
      <c r="K23" s="13">
        <v>4500.0</v>
      </c>
    </row>
    <row r="24" ht="15.0" customHeight="1">
      <c r="A24" s="9"/>
      <c r="B24" s="9"/>
      <c r="C24" s="9"/>
      <c r="D24" s="9"/>
      <c r="E24" s="9"/>
      <c r="F24" s="9"/>
      <c r="G24" s="9"/>
      <c r="H24" s="9"/>
      <c r="I24" s="12"/>
      <c r="J24" s="13"/>
      <c r="K24" s="13"/>
    </row>
    <row r="25" ht="15.0" customHeight="1">
      <c r="A25" s="9"/>
      <c r="B25" s="9"/>
      <c r="C25" s="9"/>
      <c r="D25" s="9"/>
      <c r="E25" s="9"/>
      <c r="F25" s="9"/>
      <c r="G25" s="9"/>
      <c r="H25" s="9"/>
      <c r="I25" s="12"/>
      <c r="J25" s="13"/>
      <c r="K25" s="13"/>
    </row>
    <row r="26" ht="15.0" customHeight="1">
      <c r="A26" s="9"/>
      <c r="B26" s="9"/>
      <c r="C26" s="9"/>
      <c r="D26" s="9"/>
      <c r="E26" s="9"/>
      <c r="F26" s="9"/>
      <c r="G26" s="9"/>
      <c r="H26" s="9"/>
      <c r="I26" s="12"/>
      <c r="J26" s="13"/>
      <c r="K26" s="13"/>
    </row>
    <row r="27" ht="15.0" customHeight="1">
      <c r="A27" s="9"/>
      <c r="B27" s="9"/>
      <c r="C27" s="9"/>
      <c r="D27" s="9"/>
      <c r="E27" s="9"/>
      <c r="F27" s="9"/>
      <c r="G27" s="9"/>
      <c r="H27" s="9"/>
      <c r="I27" s="12"/>
      <c r="J27" s="13"/>
      <c r="K27" s="13"/>
    </row>
    <row r="28" ht="15.0" customHeight="1">
      <c r="A28" s="9"/>
      <c r="B28" s="9"/>
      <c r="C28" s="9"/>
      <c r="D28" s="9"/>
      <c r="E28" s="9"/>
      <c r="F28" s="9"/>
      <c r="G28" s="9"/>
      <c r="H28" s="9"/>
      <c r="I28" s="12"/>
      <c r="J28" s="13"/>
      <c r="K28" s="13"/>
    </row>
    <row r="29" ht="15.0" customHeight="1">
      <c r="A29" s="9"/>
      <c r="B29" s="9"/>
      <c r="C29" s="9"/>
      <c r="D29" s="9"/>
      <c r="E29" s="9"/>
      <c r="F29" s="9"/>
      <c r="G29" s="9"/>
      <c r="H29" s="9"/>
      <c r="I29" s="12"/>
      <c r="J29" s="13"/>
      <c r="K29" s="13"/>
    </row>
    <row r="30" ht="15.0" customHeight="1">
      <c r="A30" s="9"/>
      <c r="B30" s="9"/>
      <c r="C30" s="9"/>
      <c r="D30" s="9"/>
      <c r="E30" s="9"/>
      <c r="F30" s="9"/>
      <c r="G30" s="9"/>
      <c r="H30" s="9"/>
      <c r="I30" s="12"/>
      <c r="J30" s="13"/>
      <c r="K30" s="13"/>
    </row>
    <row r="31" ht="15.0" customHeight="1">
      <c r="A31" s="9"/>
      <c r="B31" s="9"/>
      <c r="C31" s="9"/>
      <c r="D31" s="9"/>
      <c r="E31" s="9"/>
      <c r="F31" s="9"/>
      <c r="G31" s="9"/>
      <c r="H31" s="9"/>
      <c r="I31" s="12"/>
      <c r="J31" s="13"/>
      <c r="K31" s="13"/>
    </row>
    <row r="32" ht="15.0" customHeight="1">
      <c r="A32" s="9"/>
      <c r="B32" s="9"/>
      <c r="C32" s="9"/>
      <c r="D32" s="9"/>
      <c r="E32" s="9"/>
      <c r="F32" s="9"/>
      <c r="G32" s="9"/>
      <c r="H32" s="9"/>
      <c r="I32" s="12"/>
      <c r="J32" s="13"/>
      <c r="K32" s="13"/>
    </row>
    <row r="33" ht="15.0" customHeight="1">
      <c r="A33" s="9"/>
      <c r="B33" s="9"/>
      <c r="C33" s="9"/>
      <c r="D33" s="9"/>
      <c r="E33" s="9"/>
      <c r="F33" s="9"/>
      <c r="G33" s="9"/>
      <c r="H33" s="9"/>
      <c r="I33" s="12"/>
      <c r="J33" s="13"/>
      <c r="K33" s="13"/>
    </row>
    <row r="34" ht="15.0" customHeight="1">
      <c r="A34" s="9"/>
      <c r="B34" s="9"/>
      <c r="C34" s="9"/>
      <c r="D34" s="9"/>
      <c r="E34" s="9"/>
      <c r="F34" s="9"/>
      <c r="G34" s="9"/>
      <c r="H34" s="9"/>
      <c r="I34" s="12"/>
      <c r="J34" s="13"/>
      <c r="K34" s="13"/>
    </row>
    <row r="35" ht="15.0" customHeight="1">
      <c r="A35" s="9"/>
      <c r="B35" s="9"/>
      <c r="C35" s="9"/>
      <c r="D35" s="9"/>
      <c r="E35" s="9"/>
      <c r="F35" s="9"/>
      <c r="G35" s="9"/>
      <c r="H35" s="9"/>
      <c r="I35" s="12"/>
      <c r="J35" s="13"/>
      <c r="K35" s="13"/>
    </row>
    <row r="36" ht="15.0" customHeight="1">
      <c r="A36" s="9"/>
      <c r="B36" s="9"/>
      <c r="C36" s="9"/>
      <c r="D36" s="9"/>
      <c r="E36" s="9"/>
      <c r="F36" s="9"/>
      <c r="G36" s="9"/>
      <c r="H36" s="9"/>
      <c r="I36" s="12"/>
      <c r="J36" s="13"/>
      <c r="K36" s="13"/>
    </row>
    <row r="37" ht="15.0" customHeight="1">
      <c r="A37" s="9"/>
      <c r="B37" s="9"/>
      <c r="C37" s="9"/>
      <c r="D37" s="9"/>
      <c r="E37" s="9"/>
      <c r="F37" s="9"/>
      <c r="G37" s="9"/>
      <c r="H37" s="9"/>
      <c r="I37" s="12"/>
      <c r="J37" s="13"/>
      <c r="K37" s="13"/>
    </row>
    <row r="38" ht="15.0" customHeight="1">
      <c r="A38" s="9"/>
      <c r="B38" s="9"/>
      <c r="C38" s="9"/>
      <c r="D38" s="9"/>
      <c r="E38" s="9"/>
      <c r="F38" s="9"/>
      <c r="G38" s="9"/>
      <c r="H38" s="9"/>
      <c r="I38" s="12"/>
      <c r="J38" s="13"/>
      <c r="K38" s="13"/>
    </row>
    <row r="39" ht="15.0" customHeight="1">
      <c r="A39" s="9"/>
      <c r="B39" s="9"/>
      <c r="C39" s="9"/>
      <c r="D39" s="9"/>
      <c r="E39" s="9"/>
      <c r="F39" s="9"/>
      <c r="G39" s="9"/>
      <c r="H39" s="9"/>
      <c r="I39" s="12"/>
      <c r="J39" s="13"/>
      <c r="K39" s="13"/>
    </row>
    <row r="40" ht="15.0" customHeight="1">
      <c r="A40" s="9"/>
      <c r="B40" s="9"/>
      <c r="C40" s="9"/>
      <c r="D40" s="9"/>
      <c r="E40" s="9"/>
      <c r="F40" s="9"/>
      <c r="G40" s="9"/>
      <c r="H40" s="9"/>
      <c r="I40" s="12"/>
      <c r="J40" s="13"/>
      <c r="K40" s="13"/>
    </row>
    <row r="41" ht="15.0" customHeight="1">
      <c r="A41" s="9"/>
      <c r="B41" s="9"/>
      <c r="C41" s="9"/>
      <c r="D41" s="9"/>
      <c r="E41" s="9"/>
      <c r="F41" s="9"/>
      <c r="G41" s="9"/>
      <c r="H41" s="9"/>
      <c r="I41" s="12"/>
      <c r="J41" s="13"/>
      <c r="K41" s="13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customSheetViews>
    <customSheetView guid="{C33F59DB-3503-4537-8C76-24D61D887C6E}" filter="1" showAutoFilter="1">
      <autoFilter ref="$A$1:$K$41"/>
      <extLst>
        <ext uri="GoogleSheetsCustomDataVersion1">
          <go:sheetsCustomData xmlns:go="http://customooxmlschemas.google.com/" filterViewId="429433276"/>
        </ext>
      </extLst>
    </customSheetView>
  </customSheetView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4.0"/>
    <col customWidth="1" min="3" max="3" width="40.0"/>
    <col customWidth="1" min="4" max="26" width="8.71"/>
  </cols>
  <sheetData>
    <row r="1" ht="15.0" customHeight="1">
      <c r="A1" s="4" t="s">
        <v>18</v>
      </c>
      <c r="B1" s="4" t="s">
        <v>22</v>
      </c>
      <c r="C1" s="4" t="s">
        <v>25</v>
      </c>
    </row>
    <row r="2" ht="15.0" customHeight="1">
      <c r="A2" s="6" t="s">
        <v>29</v>
      </c>
      <c r="B2" s="7">
        <v>1.6</v>
      </c>
      <c r="C2" s="8" t="s">
        <v>36</v>
      </c>
    </row>
    <row r="3" ht="15.0" customHeight="1">
      <c r="A3" s="6" t="s">
        <v>39</v>
      </c>
      <c r="B3" s="7">
        <v>1.9</v>
      </c>
      <c r="C3" s="8"/>
    </row>
    <row r="4" ht="15.0" customHeight="1">
      <c r="A4" s="6" t="s">
        <v>44</v>
      </c>
      <c r="B4" s="7">
        <v>45.0</v>
      </c>
      <c r="C4" s="8"/>
    </row>
    <row r="5" ht="15.0" customHeight="1">
      <c r="A5" s="6" t="s">
        <v>49</v>
      </c>
      <c r="B5" s="7">
        <v>90.0</v>
      </c>
      <c r="C5" s="8"/>
    </row>
    <row r="6" ht="15.0" customHeight="1">
      <c r="A6" s="6" t="s">
        <v>53</v>
      </c>
      <c r="B6" s="7">
        <v>50.0</v>
      </c>
      <c r="C6" s="8"/>
    </row>
    <row r="7" ht="15.0" customHeight="1">
      <c r="A7" s="6" t="s">
        <v>58</v>
      </c>
      <c r="B7" s="7">
        <v>0.1</v>
      </c>
      <c r="C7" s="8"/>
    </row>
    <row r="8" ht="15.0" customHeight="1">
      <c r="A8" s="6" t="s">
        <v>59</v>
      </c>
      <c r="B8" s="7">
        <v>7.0</v>
      </c>
      <c r="C8" s="8"/>
    </row>
    <row r="9" ht="15.0" customHeight="1">
      <c r="A9" s="6" t="s">
        <v>61</v>
      </c>
      <c r="B9" s="7">
        <v>100.0</v>
      </c>
      <c r="C9" s="8"/>
    </row>
    <row r="10" ht="15.0" customHeight="1">
      <c r="A10" s="6" t="s">
        <v>65</v>
      </c>
      <c r="B10" s="7">
        <v>40.0</v>
      </c>
      <c r="C10" s="8"/>
    </row>
    <row r="11" ht="15.0" customHeight="1">
      <c r="A11" s="6" t="s">
        <v>69</v>
      </c>
      <c r="B11" s="7">
        <v>80.0</v>
      </c>
      <c r="C11" s="8"/>
    </row>
    <row r="12" ht="15.0" customHeight="1">
      <c r="A12" s="6" t="s">
        <v>74</v>
      </c>
      <c r="B12" s="7">
        <v>108.0</v>
      </c>
      <c r="C12" s="8"/>
    </row>
    <row r="13" ht="15.0" customHeight="1">
      <c r="A13" s="6" t="s">
        <v>76</v>
      </c>
      <c r="B13" s="7">
        <v>73.0</v>
      </c>
      <c r="C13" s="8"/>
    </row>
    <row r="14" ht="15.0" customHeight="1">
      <c r="A14" s="6" t="s">
        <v>80</v>
      </c>
      <c r="B14" s="7">
        <v>101.0</v>
      </c>
      <c r="C14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578106CC-DA9D-4433-989C-C2FD392FCB91}" filter="1" showAutoFilter="1">
      <autoFilter ref="$A$1:$C$14"/>
      <extLst>
        <ext uri="GoogleSheetsCustomDataVersion1">
          <go:sheetsCustomData xmlns:go="http://customooxmlschemas.google.com/" filterViewId="688053614"/>
        </ext>
      </extLst>
    </customSheetView>
  </customSheetView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0"/>
    <col customWidth="1" min="2" max="3" width="11.0"/>
    <col customWidth="1" min="4" max="5" width="15.0"/>
    <col customWidth="1" min="6" max="6" width="27.29"/>
    <col customWidth="1" min="7" max="7" width="26.86"/>
    <col customWidth="1" min="8" max="26" width="8.71"/>
  </cols>
  <sheetData>
    <row r="1" ht="15.0" customHeight="1">
      <c r="A1" s="4" t="s">
        <v>71</v>
      </c>
      <c r="B1" s="4" t="s">
        <v>75</v>
      </c>
      <c r="C1" s="4" t="s">
        <v>77</v>
      </c>
      <c r="D1" s="4" t="s">
        <v>78</v>
      </c>
      <c r="E1" s="4" t="s">
        <v>79</v>
      </c>
      <c r="F1" s="4" t="s">
        <v>83</v>
      </c>
      <c r="G1" s="4" t="s">
        <v>84</v>
      </c>
    </row>
    <row r="2" ht="15.0" customHeight="1">
      <c r="A2" s="6" t="s">
        <v>85</v>
      </c>
      <c r="B2" s="7">
        <v>0.0</v>
      </c>
      <c r="C2" s="7">
        <v>0.0</v>
      </c>
      <c r="D2" s="7">
        <v>0.0</v>
      </c>
      <c r="E2" s="7" t="s">
        <v>87</v>
      </c>
      <c r="F2" s="15"/>
      <c r="G2" s="15"/>
    </row>
    <row r="3" ht="15.0" customHeight="1">
      <c r="A3" s="6" t="s">
        <v>88</v>
      </c>
      <c r="B3" s="7">
        <v>90.0</v>
      </c>
      <c r="C3" s="7">
        <v>90.0</v>
      </c>
      <c r="D3" s="7">
        <v>50.0</v>
      </c>
      <c r="E3" s="7" t="s">
        <v>87</v>
      </c>
      <c r="F3" s="15">
        <v>1000.0</v>
      </c>
      <c r="G3" s="15">
        <v>500.0</v>
      </c>
    </row>
    <row r="4" ht="15.0" customHeight="1">
      <c r="A4" s="6" t="s">
        <v>93</v>
      </c>
      <c r="B4" s="7">
        <v>115.0</v>
      </c>
      <c r="C4" s="7">
        <v>115.0</v>
      </c>
      <c r="D4" s="7">
        <v>50.0</v>
      </c>
      <c r="E4" s="7" t="s">
        <v>94</v>
      </c>
      <c r="F4" s="15">
        <v>1500.0</v>
      </c>
      <c r="G4" s="15">
        <v>1000.0</v>
      </c>
    </row>
    <row r="5" ht="15.0" customHeight="1">
      <c r="A5" s="6" t="s">
        <v>96</v>
      </c>
      <c r="B5" s="7">
        <v>150.0</v>
      </c>
      <c r="C5" s="7">
        <v>150.0</v>
      </c>
      <c r="D5" s="7">
        <v>50.0</v>
      </c>
      <c r="E5" s="7" t="s">
        <v>94</v>
      </c>
      <c r="F5" s="15">
        <v>1500.0</v>
      </c>
      <c r="G5" s="15">
        <v>1500.0</v>
      </c>
    </row>
    <row r="6" ht="15.0" customHeight="1">
      <c r="A6" s="6" t="s">
        <v>97</v>
      </c>
      <c r="B6" s="7">
        <v>150.0</v>
      </c>
      <c r="C6" s="7">
        <v>150.0</v>
      </c>
      <c r="D6" s="7">
        <v>50.0</v>
      </c>
      <c r="E6" s="7" t="s">
        <v>94</v>
      </c>
      <c r="F6" s="15">
        <v>2000.0</v>
      </c>
      <c r="G6" s="15">
        <v>2000.0</v>
      </c>
    </row>
    <row r="7" ht="15.0" customHeight="1">
      <c r="A7" s="6" t="s">
        <v>99</v>
      </c>
      <c r="B7" s="7">
        <v>150.0</v>
      </c>
      <c r="C7" s="7">
        <v>150.0</v>
      </c>
      <c r="D7" s="7">
        <v>50.0</v>
      </c>
      <c r="E7" s="7" t="s">
        <v>94</v>
      </c>
      <c r="F7" s="15">
        <v>2500.0</v>
      </c>
      <c r="G7" s="15">
        <v>2000.0</v>
      </c>
    </row>
    <row r="8" ht="15.0" customHeight="1">
      <c r="A8" s="6" t="s">
        <v>101</v>
      </c>
      <c r="B8" s="7">
        <v>150.0</v>
      </c>
      <c r="C8" s="7">
        <v>150.0</v>
      </c>
      <c r="D8" s="7">
        <v>50.0</v>
      </c>
      <c r="E8" s="7" t="s">
        <v>94</v>
      </c>
      <c r="F8" s="15">
        <v>2500.0</v>
      </c>
      <c r="G8" s="15">
        <v>2500.0</v>
      </c>
    </row>
    <row r="9" ht="15.0" customHeight="1">
      <c r="A9" s="6" t="s">
        <v>102</v>
      </c>
      <c r="B9" s="7">
        <v>150.0</v>
      </c>
      <c r="C9" s="7">
        <v>150.0</v>
      </c>
      <c r="D9" s="7">
        <v>50.0</v>
      </c>
      <c r="E9" s="7" t="s">
        <v>94</v>
      </c>
      <c r="F9" s="15">
        <v>3000.0</v>
      </c>
      <c r="G9" s="15">
        <v>2500.0</v>
      </c>
    </row>
    <row r="10" ht="15.0" customHeight="1">
      <c r="A10" s="6" t="s">
        <v>110</v>
      </c>
      <c r="B10" s="7">
        <v>150.0</v>
      </c>
      <c r="C10" s="7">
        <v>150.0</v>
      </c>
      <c r="D10" s="7">
        <v>50.0</v>
      </c>
      <c r="E10" s="7" t="s">
        <v>94</v>
      </c>
      <c r="F10" s="15">
        <v>3000.0</v>
      </c>
      <c r="G10" s="15">
        <v>3000.0</v>
      </c>
    </row>
    <row r="11" ht="15.0" customHeight="1">
      <c r="A11" s="6" t="s">
        <v>116</v>
      </c>
      <c r="B11" s="7">
        <v>150.0</v>
      </c>
      <c r="C11" s="7">
        <v>150.0</v>
      </c>
      <c r="D11" s="7">
        <v>50.0</v>
      </c>
      <c r="E11" s="7" t="s">
        <v>94</v>
      </c>
      <c r="F11" s="15">
        <v>3500.0</v>
      </c>
      <c r="G11" s="15">
        <v>3500.0</v>
      </c>
    </row>
    <row r="12" ht="15.0" customHeight="1">
      <c r="A12" s="6" t="s">
        <v>97</v>
      </c>
      <c r="B12" s="7">
        <v>150.0</v>
      </c>
      <c r="C12" s="7">
        <v>150.0</v>
      </c>
      <c r="D12" s="7">
        <v>50.0</v>
      </c>
      <c r="E12" s="7" t="s">
        <v>94</v>
      </c>
      <c r="F12" s="15">
        <v>3600.0</v>
      </c>
      <c r="G12" s="15">
        <v>3200.0</v>
      </c>
    </row>
    <row r="13" ht="15.0" customHeight="1">
      <c r="A13" s="6" t="s">
        <v>122</v>
      </c>
      <c r="B13" s="7">
        <v>250.0</v>
      </c>
      <c r="C13" s="7">
        <v>300.0</v>
      </c>
      <c r="D13" s="7">
        <v>50.0</v>
      </c>
      <c r="E13" s="7" t="s">
        <v>94</v>
      </c>
      <c r="F13" s="15">
        <v>5000.0</v>
      </c>
      <c r="G13" s="15">
        <v>4500.0</v>
      </c>
    </row>
    <row r="15">
      <c r="A15" s="16" t="s">
        <v>126</v>
      </c>
    </row>
    <row r="16">
      <c r="A16" s="14" t="s">
        <v>127</v>
      </c>
    </row>
    <row r="17">
      <c r="A17" s="14" t="s">
        <v>130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548F7AA-B9F3-4EF9-962A-393D3D3CF193}" filter="1" showAutoFilter="1">
      <autoFilter ref="$A$1:$G$13"/>
      <extLst>
        <ext uri="GoogleSheetsCustomDataVersion1">
          <go:sheetsCustomData xmlns:go="http://customooxmlschemas.google.com/" filterViewId="345833354"/>
        </ext>
      </extLst>
    </customSheetView>
  </customSheetView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0.0"/>
    <col customWidth="1" min="2" max="2" width="14.0"/>
    <col customWidth="1" min="3" max="3" width="46.0"/>
    <col customWidth="1" min="4" max="26" width="8.71"/>
  </cols>
  <sheetData>
    <row r="1" ht="15.0" customHeight="1">
      <c r="A1" s="4" t="s">
        <v>18</v>
      </c>
      <c r="B1" s="4" t="s">
        <v>22</v>
      </c>
      <c r="C1" s="4" t="s">
        <v>25</v>
      </c>
    </row>
    <row r="2" ht="15.0" customHeight="1">
      <c r="A2" s="6" t="s">
        <v>106</v>
      </c>
      <c r="B2" s="7">
        <v>120.0</v>
      </c>
      <c r="C2" s="8" t="s">
        <v>108</v>
      </c>
    </row>
    <row r="3" ht="15.0" customHeight="1">
      <c r="A3" s="6" t="s">
        <v>111</v>
      </c>
      <c r="B3" s="7">
        <v>240.0</v>
      </c>
      <c r="C3" s="8"/>
    </row>
    <row r="4" ht="15.0" customHeight="1">
      <c r="A4" s="6" t="s">
        <v>113</v>
      </c>
      <c r="B4" s="7">
        <v>750.0</v>
      </c>
      <c r="C4" s="8"/>
    </row>
    <row r="5" ht="15.0" customHeight="1">
      <c r="A5" s="6" t="s">
        <v>115</v>
      </c>
      <c r="B5" s="7">
        <v>250.0</v>
      </c>
      <c r="C5" s="8"/>
    </row>
    <row r="6" ht="15.0" customHeight="1">
      <c r="A6" s="6" t="s">
        <v>118</v>
      </c>
      <c r="B6" s="7">
        <v>250.0</v>
      </c>
      <c r="C6" s="8" t="s">
        <v>119</v>
      </c>
    </row>
    <row r="7" ht="15.0" customHeight="1">
      <c r="A7" s="6" t="s">
        <v>120</v>
      </c>
      <c r="B7" s="7">
        <v>60.0</v>
      </c>
      <c r="C7" s="8"/>
    </row>
    <row r="8" ht="15.0" customHeight="1">
      <c r="A8" s="6" t="s">
        <v>121</v>
      </c>
      <c r="B8" s="7">
        <v>6500.0</v>
      </c>
      <c r="C8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D1E693C-557D-4EC5-9E7B-7BF4FB5DCEA7}" filter="1" showAutoFilter="1">
      <autoFilter ref="$A$1:$C$8"/>
      <extLst>
        <ext uri="GoogleSheetsCustomDataVersion1">
          <go:sheetsCustomData xmlns:go="http://customooxmlschemas.google.com/" filterViewId="628292309"/>
        </ext>
      </extLst>
    </customSheetView>
  </customSheetView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29"/>
    <col customWidth="1" min="2" max="2" width="11.0"/>
    <col customWidth="1" min="3" max="3" width="14.0"/>
    <col customWidth="1" min="4" max="4" width="7.43"/>
    <col customWidth="1" min="5" max="5" width="15.71"/>
    <col customWidth="1" min="6" max="6" width="11.0"/>
    <col customWidth="1" min="7" max="7" width="17.71"/>
    <col customWidth="1" min="8" max="8" width="11.71"/>
    <col customWidth="1" min="9" max="9" width="9.57"/>
    <col customWidth="1" min="10" max="10" width="15.0"/>
    <col customWidth="1" min="11" max="11" width="37.14"/>
    <col customWidth="1" min="12" max="27" width="8.71"/>
  </cols>
  <sheetData>
    <row r="1" ht="15.0" customHeight="1">
      <c r="A1" s="4" t="s">
        <v>19</v>
      </c>
      <c r="B1" s="5" t="s">
        <v>103</v>
      </c>
      <c r="C1" s="5" t="s">
        <v>104</v>
      </c>
      <c r="D1" s="4" t="s">
        <v>28</v>
      </c>
      <c r="E1" s="5" t="s">
        <v>105</v>
      </c>
      <c r="F1" s="4" t="s">
        <v>107</v>
      </c>
      <c r="G1" s="4" t="s">
        <v>31</v>
      </c>
      <c r="H1" s="4" t="s">
        <v>109</v>
      </c>
      <c r="I1" s="4" t="s">
        <v>33</v>
      </c>
      <c r="J1" s="4" t="s">
        <v>34</v>
      </c>
      <c r="K1" s="4" t="s">
        <v>112</v>
      </c>
    </row>
    <row r="2" ht="15.0" customHeight="1">
      <c r="A2" s="9" t="s">
        <v>114</v>
      </c>
      <c r="B2" s="9">
        <v>500.0</v>
      </c>
      <c r="C2" s="9">
        <v>550.0</v>
      </c>
      <c r="D2" s="9" t="s">
        <v>91</v>
      </c>
      <c r="E2" s="9" t="s">
        <v>117</v>
      </c>
      <c r="F2" s="9">
        <v>82.35</v>
      </c>
      <c r="G2" s="9" t="s">
        <v>92</v>
      </c>
      <c r="H2" s="9">
        <v>12.38</v>
      </c>
      <c r="I2" s="9">
        <v>0.0</v>
      </c>
      <c r="J2" s="9">
        <v>12.38</v>
      </c>
      <c r="K2" s="12" t="s">
        <v>89</v>
      </c>
    </row>
    <row r="3" ht="15.0" customHeight="1">
      <c r="A3" s="9" t="s">
        <v>114</v>
      </c>
      <c r="B3" s="9">
        <v>500.0</v>
      </c>
      <c r="C3" s="9">
        <v>550.0</v>
      </c>
      <c r="D3" s="9" t="s">
        <v>43</v>
      </c>
      <c r="E3" s="9" t="s">
        <v>117</v>
      </c>
      <c r="F3" s="9">
        <v>479.5</v>
      </c>
      <c r="G3" s="9" t="s">
        <v>92</v>
      </c>
      <c r="H3" s="9">
        <v>12.38</v>
      </c>
      <c r="I3" s="9">
        <v>6.0</v>
      </c>
      <c r="J3" s="9">
        <v>18.38</v>
      </c>
      <c r="K3" s="12" t="s">
        <v>124</v>
      </c>
    </row>
    <row r="4" ht="15.0" customHeight="1">
      <c r="A4" s="9" t="s">
        <v>60</v>
      </c>
      <c r="B4" s="9">
        <v>500.0</v>
      </c>
      <c r="C4" s="9">
        <v>570.0</v>
      </c>
      <c r="D4" s="9" t="s">
        <v>43</v>
      </c>
      <c r="E4" s="9" t="s">
        <v>125</v>
      </c>
      <c r="F4" s="9">
        <v>537.7</v>
      </c>
      <c r="G4" s="9" t="s">
        <v>92</v>
      </c>
      <c r="H4" s="9">
        <v>12.38</v>
      </c>
      <c r="I4" s="9">
        <v>6.0</v>
      </c>
      <c r="J4" s="9">
        <v>18.38</v>
      </c>
      <c r="K4" s="12" t="s">
        <v>129</v>
      </c>
    </row>
    <row r="5" ht="15.0" customHeight="1">
      <c r="A5" s="9" t="s">
        <v>114</v>
      </c>
      <c r="B5" s="9">
        <v>600.0</v>
      </c>
      <c r="C5" s="9">
        <v>650.0</v>
      </c>
      <c r="D5" s="9" t="s">
        <v>91</v>
      </c>
      <c r="E5" s="9" t="s">
        <v>117</v>
      </c>
      <c r="F5" s="9">
        <v>82.35</v>
      </c>
      <c r="G5" s="9" t="s">
        <v>92</v>
      </c>
      <c r="H5" s="9">
        <v>12.38</v>
      </c>
      <c r="I5" s="9">
        <v>0.0</v>
      </c>
      <c r="J5" s="9">
        <v>12.38</v>
      </c>
      <c r="K5" s="12" t="s">
        <v>89</v>
      </c>
    </row>
    <row r="6" ht="15.0" customHeight="1">
      <c r="A6" s="9" t="s">
        <v>114</v>
      </c>
      <c r="B6" s="9">
        <v>600.0</v>
      </c>
      <c r="C6" s="9">
        <v>650.0</v>
      </c>
      <c r="D6" s="9" t="s">
        <v>43</v>
      </c>
      <c r="E6" s="9" t="s">
        <v>117</v>
      </c>
      <c r="F6" s="9">
        <v>475.32</v>
      </c>
      <c r="G6" s="9" t="s">
        <v>92</v>
      </c>
      <c r="H6" s="9">
        <v>12.38</v>
      </c>
      <c r="I6" s="9">
        <v>6.0</v>
      </c>
      <c r="J6" s="9">
        <v>18.38</v>
      </c>
      <c r="K6" s="12" t="s">
        <v>124</v>
      </c>
    </row>
    <row r="7" ht="15.0" customHeight="1">
      <c r="A7" s="9" t="s">
        <v>60</v>
      </c>
      <c r="B7" s="9">
        <v>600.0</v>
      </c>
      <c r="C7" s="9">
        <v>670.0</v>
      </c>
      <c r="D7" s="9" t="s">
        <v>43</v>
      </c>
      <c r="E7" s="9" t="s">
        <v>125</v>
      </c>
      <c r="F7" s="9">
        <v>539.82</v>
      </c>
      <c r="G7" s="9" t="s">
        <v>92</v>
      </c>
      <c r="H7" s="9">
        <v>12.38</v>
      </c>
      <c r="I7" s="9">
        <v>6.0</v>
      </c>
      <c r="J7" s="9">
        <v>18.38</v>
      </c>
      <c r="K7" s="12" t="s">
        <v>129</v>
      </c>
    </row>
    <row r="8" ht="15.0" customHeight="1">
      <c r="A8" s="9" t="s">
        <v>114</v>
      </c>
      <c r="B8" s="9">
        <v>700.0</v>
      </c>
      <c r="C8" s="9">
        <v>750.0</v>
      </c>
      <c r="D8" s="9" t="s">
        <v>91</v>
      </c>
      <c r="E8" s="9" t="s">
        <v>117</v>
      </c>
      <c r="F8" s="9">
        <v>96.23</v>
      </c>
      <c r="G8" s="9" t="s">
        <v>92</v>
      </c>
      <c r="H8" s="9">
        <v>12.38</v>
      </c>
      <c r="I8" s="9">
        <v>0.0</v>
      </c>
      <c r="J8" s="9">
        <v>12.38</v>
      </c>
      <c r="K8" s="12" t="s">
        <v>89</v>
      </c>
    </row>
    <row r="9" ht="15.0" customHeight="1">
      <c r="A9" s="9" t="s">
        <v>114</v>
      </c>
      <c r="B9" s="9">
        <v>700.0</v>
      </c>
      <c r="C9" s="9">
        <v>750.0</v>
      </c>
      <c r="D9" s="9" t="s">
        <v>43</v>
      </c>
      <c r="E9" s="9" t="s">
        <v>117</v>
      </c>
      <c r="F9" s="9">
        <v>489.73</v>
      </c>
      <c r="G9" s="9" t="s">
        <v>92</v>
      </c>
      <c r="H9" s="9">
        <v>12.38</v>
      </c>
      <c r="I9" s="9">
        <v>6.0</v>
      </c>
      <c r="J9" s="9">
        <v>18.38</v>
      </c>
      <c r="K9" s="12" t="s">
        <v>124</v>
      </c>
    </row>
    <row r="10" ht="15.0" customHeight="1">
      <c r="A10" s="9" t="s">
        <v>60</v>
      </c>
      <c r="B10" s="9">
        <v>700.0</v>
      </c>
      <c r="C10" s="9">
        <v>770.0</v>
      </c>
      <c r="D10" s="9" t="s">
        <v>43</v>
      </c>
      <c r="E10" s="9" t="s">
        <v>125</v>
      </c>
      <c r="F10" s="9">
        <v>584.91</v>
      </c>
      <c r="G10" s="9" t="s">
        <v>92</v>
      </c>
      <c r="H10" s="9">
        <v>12.38</v>
      </c>
      <c r="I10" s="9">
        <v>6.0</v>
      </c>
      <c r="J10" s="9">
        <v>18.38</v>
      </c>
      <c r="K10" s="12" t="s">
        <v>129</v>
      </c>
    </row>
    <row r="11" ht="15.0" customHeight="1">
      <c r="A11" s="9" t="s">
        <v>114</v>
      </c>
      <c r="B11" s="9">
        <v>800.0</v>
      </c>
      <c r="C11" s="9">
        <v>850.0</v>
      </c>
      <c r="D11" s="9" t="s">
        <v>91</v>
      </c>
      <c r="E11" s="9" t="s">
        <v>117</v>
      </c>
      <c r="F11" s="9">
        <v>111.91</v>
      </c>
      <c r="G11" s="9" t="s">
        <v>92</v>
      </c>
      <c r="H11" s="9">
        <v>12.38</v>
      </c>
      <c r="I11" s="9">
        <v>0.0</v>
      </c>
      <c r="J11" s="9">
        <v>12.38</v>
      </c>
      <c r="K11" s="12" t="s">
        <v>89</v>
      </c>
    </row>
    <row r="12" ht="15.0" customHeight="1">
      <c r="A12" s="9" t="s">
        <v>114</v>
      </c>
      <c r="B12" s="9">
        <v>800.0</v>
      </c>
      <c r="C12" s="9">
        <v>850.0</v>
      </c>
      <c r="D12" s="9" t="s">
        <v>43</v>
      </c>
      <c r="E12" s="9" t="s">
        <v>117</v>
      </c>
      <c r="F12" s="9">
        <v>524.61</v>
      </c>
      <c r="G12" s="9" t="s">
        <v>92</v>
      </c>
      <c r="H12" s="9">
        <v>12.38</v>
      </c>
      <c r="I12" s="9">
        <v>6.0</v>
      </c>
      <c r="J12" s="9">
        <v>18.38</v>
      </c>
      <c r="K12" s="12" t="s">
        <v>124</v>
      </c>
    </row>
    <row r="13" ht="15.0" customHeight="1">
      <c r="A13" s="9" t="s">
        <v>60</v>
      </c>
      <c r="B13" s="9">
        <v>800.0</v>
      </c>
      <c r="C13" s="9">
        <v>870.0</v>
      </c>
      <c r="D13" s="9" t="s">
        <v>43</v>
      </c>
      <c r="E13" s="9" t="s">
        <v>125</v>
      </c>
      <c r="F13" s="9">
        <v>666.26</v>
      </c>
      <c r="G13" s="9" t="s">
        <v>92</v>
      </c>
      <c r="H13" s="9">
        <v>12.38</v>
      </c>
      <c r="I13" s="9">
        <v>6.0</v>
      </c>
      <c r="J13" s="9">
        <v>18.38</v>
      </c>
      <c r="K13" s="12" t="s">
        <v>129</v>
      </c>
    </row>
    <row r="14" ht="15.0" customHeight="1">
      <c r="A14" s="9" t="s">
        <v>114</v>
      </c>
      <c r="B14" s="9">
        <v>900.0</v>
      </c>
      <c r="C14" s="9">
        <v>950.0</v>
      </c>
      <c r="D14" s="9" t="s">
        <v>91</v>
      </c>
      <c r="E14" s="9" t="s">
        <v>117</v>
      </c>
      <c r="F14" s="9">
        <v>129.39</v>
      </c>
      <c r="G14" s="9" t="s">
        <v>92</v>
      </c>
      <c r="H14" s="9">
        <v>12.38</v>
      </c>
      <c r="I14" s="9">
        <v>0.0</v>
      </c>
      <c r="J14" s="9">
        <v>12.38</v>
      </c>
      <c r="K14" s="12" t="s">
        <v>89</v>
      </c>
    </row>
    <row r="15" ht="15.0" customHeight="1">
      <c r="A15" s="9" t="s">
        <v>114</v>
      </c>
      <c r="B15" s="9">
        <v>900.0</v>
      </c>
      <c r="C15" s="9">
        <v>950.0</v>
      </c>
      <c r="D15" s="9" t="s">
        <v>43</v>
      </c>
      <c r="E15" s="9" t="s">
        <v>117</v>
      </c>
      <c r="F15" s="9">
        <v>563.69</v>
      </c>
      <c r="G15" s="9" t="s">
        <v>92</v>
      </c>
      <c r="H15" s="9">
        <v>12.38</v>
      </c>
      <c r="I15" s="9">
        <v>6.0</v>
      </c>
      <c r="J15" s="9">
        <v>18.38</v>
      </c>
      <c r="K15" s="12" t="s">
        <v>124</v>
      </c>
    </row>
    <row r="16" ht="15.0" customHeight="1">
      <c r="A16" s="9" t="s">
        <v>60</v>
      </c>
      <c r="B16" s="9">
        <v>900.0</v>
      </c>
      <c r="C16" s="9">
        <v>970.0</v>
      </c>
      <c r="D16" s="9" t="s">
        <v>43</v>
      </c>
      <c r="E16" s="9" t="s">
        <v>125</v>
      </c>
      <c r="F16" s="9">
        <v>752.23</v>
      </c>
      <c r="G16" s="9" t="s">
        <v>92</v>
      </c>
      <c r="H16" s="9">
        <v>12.38</v>
      </c>
      <c r="I16" s="9">
        <v>6.0</v>
      </c>
      <c r="J16" s="9">
        <v>18.38</v>
      </c>
      <c r="K16" s="12" t="s">
        <v>129</v>
      </c>
    </row>
    <row r="17" ht="15.0" customHeight="1">
      <c r="A17" s="9" t="s">
        <v>114</v>
      </c>
      <c r="B17" s="9">
        <v>1000.0</v>
      </c>
      <c r="C17" s="9">
        <v>1050.0</v>
      </c>
      <c r="D17" s="9" t="s">
        <v>91</v>
      </c>
      <c r="E17" s="9" t="s">
        <v>117</v>
      </c>
      <c r="F17" s="9">
        <v>148.67</v>
      </c>
      <c r="G17" s="9" t="s">
        <v>92</v>
      </c>
      <c r="H17" s="9">
        <v>12.38</v>
      </c>
      <c r="I17" s="9">
        <v>0.0</v>
      </c>
      <c r="J17" s="9">
        <v>12.38</v>
      </c>
      <c r="K17" s="12" t="s">
        <v>89</v>
      </c>
    </row>
    <row r="18" ht="15.0" customHeight="1">
      <c r="A18" s="9" t="s">
        <v>114</v>
      </c>
      <c r="B18" s="9">
        <v>1000.0</v>
      </c>
      <c r="C18" s="9">
        <v>1050.0</v>
      </c>
      <c r="D18" s="9" t="s">
        <v>43</v>
      </c>
      <c r="E18" s="9" t="s">
        <v>117</v>
      </c>
      <c r="F18" s="9">
        <v>606.97</v>
      </c>
      <c r="G18" s="9" t="s">
        <v>92</v>
      </c>
      <c r="H18" s="9">
        <v>12.38</v>
      </c>
      <c r="I18" s="9">
        <v>6.0</v>
      </c>
      <c r="J18" s="9">
        <v>18.38</v>
      </c>
      <c r="K18" s="12" t="s">
        <v>124</v>
      </c>
    </row>
    <row r="19" ht="15.0" customHeight="1">
      <c r="A19" s="9" t="s">
        <v>60</v>
      </c>
      <c r="B19" s="9">
        <v>1000.0</v>
      </c>
      <c r="C19" s="9">
        <v>1070.0</v>
      </c>
      <c r="D19" s="9" t="s">
        <v>43</v>
      </c>
      <c r="E19" s="9" t="s">
        <v>125</v>
      </c>
      <c r="F19" s="9">
        <v>847.44</v>
      </c>
      <c r="G19" s="9" t="s">
        <v>92</v>
      </c>
      <c r="H19" s="9">
        <v>12.38</v>
      </c>
      <c r="I19" s="9">
        <v>6.0</v>
      </c>
      <c r="J19" s="9">
        <v>18.38</v>
      </c>
      <c r="K19" s="12" t="s">
        <v>129</v>
      </c>
    </row>
    <row r="20" ht="15.0" customHeight="1">
      <c r="A20" s="9" t="s">
        <v>114</v>
      </c>
      <c r="B20" s="9">
        <v>1100.0</v>
      </c>
      <c r="C20" s="9">
        <v>1150.0</v>
      </c>
      <c r="D20" s="9" t="s">
        <v>91</v>
      </c>
      <c r="E20" s="9" t="s">
        <v>117</v>
      </c>
      <c r="F20" s="9">
        <v>169.75</v>
      </c>
      <c r="G20" s="9" t="s">
        <v>92</v>
      </c>
      <c r="H20" s="9">
        <v>12.38</v>
      </c>
      <c r="I20" s="9">
        <v>0.0</v>
      </c>
      <c r="J20" s="9">
        <v>12.38</v>
      </c>
      <c r="K20" s="12" t="s">
        <v>89</v>
      </c>
    </row>
    <row r="21" ht="15.0" customHeight="1">
      <c r="A21" s="9" t="s">
        <v>114</v>
      </c>
      <c r="B21" s="9">
        <v>1100.0</v>
      </c>
      <c r="C21" s="9">
        <v>1150.0</v>
      </c>
      <c r="D21" s="9" t="s">
        <v>43</v>
      </c>
      <c r="E21" s="9" t="s">
        <v>117</v>
      </c>
      <c r="F21" s="9">
        <v>654.45</v>
      </c>
      <c r="G21" s="9" t="s">
        <v>92</v>
      </c>
      <c r="H21" s="9">
        <v>12.38</v>
      </c>
      <c r="I21" s="9">
        <v>6.0</v>
      </c>
      <c r="J21" s="9">
        <v>18.38</v>
      </c>
      <c r="K21" s="12" t="s">
        <v>124</v>
      </c>
    </row>
    <row r="22" ht="15.0" customHeight="1">
      <c r="A22" s="9" t="s">
        <v>60</v>
      </c>
      <c r="B22" s="9">
        <v>1100.0</v>
      </c>
      <c r="C22" s="9">
        <v>1170.0</v>
      </c>
      <c r="D22" s="9" t="s">
        <v>43</v>
      </c>
      <c r="E22" s="9" t="s">
        <v>125</v>
      </c>
      <c r="F22" s="9">
        <v>956.51</v>
      </c>
      <c r="G22" s="9" t="s">
        <v>92</v>
      </c>
      <c r="H22" s="9">
        <v>12.38</v>
      </c>
      <c r="I22" s="9">
        <v>6.0</v>
      </c>
      <c r="J22" s="9">
        <v>18.38</v>
      </c>
      <c r="K22" s="12" t="s">
        <v>129</v>
      </c>
    </row>
    <row r="23" ht="15.0" customHeight="1">
      <c r="A23" s="9" t="s">
        <v>114</v>
      </c>
      <c r="B23" s="9">
        <v>1200.0</v>
      </c>
      <c r="C23" s="9">
        <v>1250.0</v>
      </c>
      <c r="D23" s="9" t="s">
        <v>91</v>
      </c>
      <c r="E23" s="9" t="s">
        <v>117</v>
      </c>
      <c r="F23" s="9">
        <v>192.63</v>
      </c>
      <c r="G23" s="9" t="s">
        <v>92</v>
      </c>
      <c r="H23" s="9">
        <v>12.38</v>
      </c>
      <c r="I23" s="9">
        <v>0.0</v>
      </c>
      <c r="J23" s="9">
        <v>12.38</v>
      </c>
      <c r="K23" s="12" t="s">
        <v>89</v>
      </c>
    </row>
    <row r="24" ht="15.0" customHeight="1">
      <c r="A24" s="9" t="s">
        <v>114</v>
      </c>
      <c r="B24" s="9">
        <v>1200.0</v>
      </c>
      <c r="C24" s="9">
        <v>1250.0</v>
      </c>
      <c r="D24" s="9" t="s">
        <v>43</v>
      </c>
      <c r="E24" s="9" t="s">
        <v>117</v>
      </c>
      <c r="F24" s="9">
        <v>706.13</v>
      </c>
      <c r="G24" s="9" t="s">
        <v>92</v>
      </c>
      <c r="H24" s="9">
        <v>12.38</v>
      </c>
      <c r="I24" s="9">
        <v>6.0</v>
      </c>
      <c r="J24" s="9">
        <v>18.38</v>
      </c>
      <c r="K24" s="12" t="s">
        <v>124</v>
      </c>
    </row>
    <row r="25" ht="15.0" customHeight="1">
      <c r="A25" s="9" t="s">
        <v>60</v>
      </c>
      <c r="B25" s="9">
        <v>1200.0</v>
      </c>
      <c r="C25" s="9">
        <v>1270.0</v>
      </c>
      <c r="D25" s="9" t="s">
        <v>43</v>
      </c>
      <c r="E25" s="9" t="s">
        <v>125</v>
      </c>
      <c r="F25" s="9">
        <v>1070.2</v>
      </c>
      <c r="G25" s="9" t="s">
        <v>92</v>
      </c>
      <c r="H25" s="9">
        <v>12.38</v>
      </c>
      <c r="I25" s="9">
        <v>6.0</v>
      </c>
      <c r="J25" s="9">
        <v>18.38</v>
      </c>
      <c r="K25" s="12" t="s">
        <v>129</v>
      </c>
    </row>
    <row r="26" ht="15.0" customHeight="1">
      <c r="A26" s="9" t="s">
        <v>114</v>
      </c>
      <c r="B26" s="9">
        <v>1300.0</v>
      </c>
      <c r="C26" s="9">
        <v>1350.0</v>
      </c>
      <c r="D26" s="9" t="s">
        <v>91</v>
      </c>
      <c r="E26" s="9" t="s">
        <v>117</v>
      </c>
      <c r="F26" s="9">
        <v>498.52</v>
      </c>
      <c r="G26" s="9" t="s">
        <v>46</v>
      </c>
      <c r="H26" s="9">
        <v>13.52</v>
      </c>
      <c r="I26" s="9">
        <v>0.0</v>
      </c>
      <c r="J26" s="9">
        <v>13.52</v>
      </c>
      <c r="K26" s="12" t="s">
        <v>95</v>
      </c>
    </row>
    <row r="27" ht="15.0" customHeight="1">
      <c r="A27" s="9" t="s">
        <v>114</v>
      </c>
      <c r="B27" s="9">
        <v>1300.0</v>
      </c>
      <c r="C27" s="9">
        <v>1350.0</v>
      </c>
      <c r="D27" s="9" t="s">
        <v>43</v>
      </c>
      <c r="E27" s="9" t="s">
        <v>117</v>
      </c>
      <c r="F27" s="9">
        <v>1252.33</v>
      </c>
      <c r="G27" s="9" t="s">
        <v>46</v>
      </c>
      <c r="H27" s="9">
        <v>13.52</v>
      </c>
      <c r="I27" s="9">
        <v>8.0</v>
      </c>
      <c r="J27" s="9">
        <v>21.52</v>
      </c>
      <c r="K27" s="12" t="s">
        <v>137</v>
      </c>
    </row>
    <row r="28" ht="15.0" customHeight="1">
      <c r="A28" s="9" t="s">
        <v>60</v>
      </c>
      <c r="B28" s="9">
        <v>1300.0</v>
      </c>
      <c r="C28" s="9">
        <v>1270.0</v>
      </c>
      <c r="D28" s="9" t="s">
        <v>43</v>
      </c>
      <c r="E28" s="9" t="s">
        <v>125</v>
      </c>
      <c r="F28" s="9">
        <v>1241.99</v>
      </c>
      <c r="G28" s="9" t="s">
        <v>46</v>
      </c>
      <c r="H28" s="9">
        <v>13.52</v>
      </c>
      <c r="I28" s="9">
        <v>8.0</v>
      </c>
      <c r="J28" s="9">
        <v>21.52</v>
      </c>
      <c r="K28" s="12" t="s">
        <v>138</v>
      </c>
    </row>
    <row r="29" ht="15.0" customHeight="1">
      <c r="A29" s="9" t="s">
        <v>114</v>
      </c>
      <c r="B29" s="9">
        <v>1400.0</v>
      </c>
      <c r="C29" s="9">
        <v>1450.0</v>
      </c>
      <c r="D29" s="9" t="s">
        <v>91</v>
      </c>
      <c r="E29" s="9" t="s">
        <v>117</v>
      </c>
      <c r="F29" s="9">
        <v>567.11</v>
      </c>
      <c r="G29" s="9" t="s">
        <v>46</v>
      </c>
      <c r="H29" s="9">
        <v>13.52</v>
      </c>
      <c r="I29" s="9">
        <v>0.0</v>
      </c>
      <c r="J29" s="9">
        <v>13.52</v>
      </c>
      <c r="K29" s="12" t="s">
        <v>95</v>
      </c>
    </row>
    <row r="30" ht="15.0" customHeight="1">
      <c r="A30" s="9" t="s">
        <v>114</v>
      </c>
      <c r="B30" s="9">
        <v>1400.0</v>
      </c>
      <c r="C30" s="9">
        <v>1450.0</v>
      </c>
      <c r="D30" s="9" t="s">
        <v>43</v>
      </c>
      <c r="E30" s="9" t="s">
        <v>117</v>
      </c>
      <c r="F30" s="9">
        <v>1355.93</v>
      </c>
      <c r="G30" s="9" t="s">
        <v>46</v>
      </c>
      <c r="H30" s="9">
        <v>13.52</v>
      </c>
      <c r="I30" s="9">
        <v>8.0</v>
      </c>
      <c r="J30" s="9">
        <v>21.52</v>
      </c>
      <c r="K30" s="12" t="s">
        <v>137</v>
      </c>
    </row>
    <row r="31" ht="15.0" customHeight="1">
      <c r="A31" s="9" t="s">
        <v>60</v>
      </c>
      <c r="B31" s="9">
        <v>1400.0</v>
      </c>
      <c r="C31" s="9">
        <v>1370.0</v>
      </c>
      <c r="D31" s="9" t="s">
        <v>43</v>
      </c>
      <c r="E31" s="9" t="s">
        <v>125</v>
      </c>
      <c r="F31" s="9">
        <v>1392.6</v>
      </c>
      <c r="G31" s="9" t="s">
        <v>46</v>
      </c>
      <c r="H31" s="9">
        <v>13.52</v>
      </c>
      <c r="I31" s="9">
        <v>8.0</v>
      </c>
      <c r="J31" s="9">
        <v>21.52</v>
      </c>
      <c r="K31" s="12" t="s">
        <v>138</v>
      </c>
    </row>
    <row r="32" ht="15.0" customHeight="1">
      <c r="A32" s="9" t="s">
        <v>114</v>
      </c>
      <c r="B32" s="9">
        <v>1500.0</v>
      </c>
      <c r="C32" s="9">
        <v>1550.0</v>
      </c>
      <c r="D32" s="9" t="s">
        <v>91</v>
      </c>
      <c r="E32" s="9" t="s">
        <v>117</v>
      </c>
      <c r="F32" s="9">
        <v>640.61</v>
      </c>
      <c r="G32" s="9" t="s">
        <v>46</v>
      </c>
      <c r="H32" s="9">
        <v>13.52</v>
      </c>
      <c r="I32" s="9">
        <v>0.0</v>
      </c>
      <c r="J32" s="9">
        <v>13.52</v>
      </c>
      <c r="K32" s="12" t="s">
        <v>95</v>
      </c>
    </row>
    <row r="33" ht="15.0" customHeight="1">
      <c r="A33" s="9" t="s">
        <v>114</v>
      </c>
      <c r="B33" s="9">
        <v>1500.0</v>
      </c>
      <c r="C33" s="9">
        <v>1550.0</v>
      </c>
      <c r="D33" s="9" t="s">
        <v>43</v>
      </c>
      <c r="E33" s="9" t="s">
        <v>117</v>
      </c>
      <c r="F33" s="9">
        <v>1466.93</v>
      </c>
      <c r="G33" s="9" t="s">
        <v>46</v>
      </c>
      <c r="H33" s="9">
        <v>13.52</v>
      </c>
      <c r="I33" s="9">
        <v>8.0</v>
      </c>
      <c r="J33" s="9">
        <v>21.52</v>
      </c>
      <c r="K33" s="12" t="s">
        <v>137</v>
      </c>
    </row>
    <row r="34" ht="15.0" customHeight="1">
      <c r="A34" s="9" t="s">
        <v>60</v>
      </c>
      <c r="B34" s="9">
        <v>1500.0</v>
      </c>
      <c r="C34" s="9">
        <v>1470.0</v>
      </c>
      <c r="D34" s="9" t="s">
        <v>43</v>
      </c>
      <c r="E34" s="9" t="s">
        <v>125</v>
      </c>
      <c r="F34" s="9">
        <v>1548.69</v>
      </c>
      <c r="G34" s="9" t="s">
        <v>46</v>
      </c>
      <c r="H34" s="9">
        <v>13.52</v>
      </c>
      <c r="I34" s="9">
        <v>8.0</v>
      </c>
      <c r="J34" s="9">
        <v>21.52</v>
      </c>
      <c r="K34" s="12" t="s">
        <v>138</v>
      </c>
    </row>
    <row r="35" ht="15.0" customHeight="1">
      <c r="A35" s="9" t="s">
        <v>114</v>
      </c>
      <c r="B35" s="9">
        <v>1600.0</v>
      </c>
      <c r="C35" s="9">
        <v>1650.0</v>
      </c>
      <c r="D35" s="9" t="s">
        <v>91</v>
      </c>
      <c r="E35" s="9" t="s">
        <v>117</v>
      </c>
      <c r="F35" s="9">
        <v>719.01</v>
      </c>
      <c r="G35" s="9" t="s">
        <v>46</v>
      </c>
      <c r="H35" s="9">
        <v>13.52</v>
      </c>
      <c r="I35" s="9">
        <v>0.0</v>
      </c>
      <c r="J35" s="9">
        <v>13.52</v>
      </c>
      <c r="K35" s="12" t="s">
        <v>95</v>
      </c>
    </row>
    <row r="36" ht="15.0" customHeight="1">
      <c r="A36" s="9" t="s">
        <v>114</v>
      </c>
      <c r="B36" s="9">
        <v>1600.0</v>
      </c>
      <c r="C36" s="9">
        <v>1650.0</v>
      </c>
      <c r="D36" s="9" t="s">
        <v>43</v>
      </c>
      <c r="E36" s="9" t="s">
        <v>117</v>
      </c>
      <c r="F36" s="9">
        <v>1585.33</v>
      </c>
      <c r="G36" s="9" t="s">
        <v>46</v>
      </c>
      <c r="H36" s="9">
        <v>13.52</v>
      </c>
      <c r="I36" s="9">
        <v>8.0</v>
      </c>
      <c r="J36" s="9">
        <v>21.52</v>
      </c>
      <c r="K36" s="12" t="s">
        <v>137</v>
      </c>
    </row>
    <row r="37" ht="15.0" customHeight="1">
      <c r="A37" s="9" t="s">
        <v>60</v>
      </c>
      <c r="B37" s="9">
        <v>1600.0</v>
      </c>
      <c r="C37" s="9">
        <v>1570.0</v>
      </c>
      <c r="D37" s="9" t="s">
        <v>43</v>
      </c>
      <c r="E37" s="9" t="s">
        <v>125</v>
      </c>
      <c r="F37" s="9">
        <v>1715.72</v>
      </c>
      <c r="G37" s="9" t="s">
        <v>46</v>
      </c>
      <c r="H37" s="9">
        <v>13.52</v>
      </c>
      <c r="I37" s="9">
        <v>8.0</v>
      </c>
      <c r="J37" s="9">
        <v>21.52</v>
      </c>
      <c r="K37" s="12" t="s">
        <v>138</v>
      </c>
    </row>
    <row r="38" ht="15.0" customHeight="1">
      <c r="A38" s="9" t="s">
        <v>114</v>
      </c>
      <c r="B38" s="9">
        <v>1700.0</v>
      </c>
      <c r="C38" s="9">
        <v>1750.0</v>
      </c>
      <c r="D38" s="9" t="s">
        <v>91</v>
      </c>
      <c r="E38" s="9" t="s">
        <v>117</v>
      </c>
      <c r="F38" s="9">
        <v>802.31</v>
      </c>
      <c r="G38" s="9" t="s">
        <v>46</v>
      </c>
      <c r="H38" s="9">
        <v>13.52</v>
      </c>
      <c r="I38" s="9">
        <v>0.0</v>
      </c>
      <c r="J38" s="9">
        <v>13.52</v>
      </c>
      <c r="K38" s="12" t="s">
        <v>95</v>
      </c>
    </row>
    <row r="39" ht="15.0" customHeight="1">
      <c r="A39" s="9" t="s">
        <v>114</v>
      </c>
      <c r="B39" s="9">
        <v>1700.0</v>
      </c>
      <c r="C39" s="9">
        <v>1750.0</v>
      </c>
      <c r="D39" s="9" t="s">
        <v>43</v>
      </c>
      <c r="E39" s="9" t="s">
        <v>117</v>
      </c>
      <c r="F39" s="9">
        <v>1711.13</v>
      </c>
      <c r="G39" s="9" t="s">
        <v>46</v>
      </c>
      <c r="H39" s="9">
        <v>13.52</v>
      </c>
      <c r="I39" s="9">
        <v>8.0</v>
      </c>
      <c r="J39" s="9">
        <v>21.52</v>
      </c>
      <c r="K39" s="12" t="s">
        <v>137</v>
      </c>
    </row>
    <row r="40" ht="15.0" customHeight="1">
      <c r="A40" s="9" t="s">
        <v>60</v>
      </c>
      <c r="B40" s="9">
        <v>1700.0</v>
      </c>
      <c r="C40" s="9">
        <v>1670.0</v>
      </c>
      <c r="D40" s="9" t="s">
        <v>43</v>
      </c>
      <c r="E40" s="9" t="s">
        <v>125</v>
      </c>
      <c r="F40" s="9">
        <v>1899.18</v>
      </c>
      <c r="G40" s="9" t="s">
        <v>46</v>
      </c>
      <c r="H40" s="9">
        <v>13.52</v>
      </c>
      <c r="I40" s="9">
        <v>8.0</v>
      </c>
      <c r="J40" s="9">
        <v>21.52</v>
      </c>
      <c r="K40" s="12" t="s">
        <v>138</v>
      </c>
    </row>
    <row r="41" ht="15.0" customHeight="1">
      <c r="A41" s="9" t="s">
        <v>114</v>
      </c>
      <c r="B41" s="9">
        <v>1800.0</v>
      </c>
      <c r="C41" s="9">
        <v>1850.0</v>
      </c>
      <c r="D41" s="9" t="s">
        <v>91</v>
      </c>
      <c r="E41" s="9" t="s">
        <v>117</v>
      </c>
      <c r="F41" s="9">
        <v>890.51</v>
      </c>
      <c r="G41" s="9" t="s">
        <v>46</v>
      </c>
      <c r="H41" s="9">
        <v>13.52</v>
      </c>
      <c r="I41" s="9">
        <v>0.0</v>
      </c>
      <c r="J41" s="9">
        <v>13.52</v>
      </c>
      <c r="K41" s="12" t="s">
        <v>95</v>
      </c>
    </row>
    <row r="42" ht="15.75" customHeight="1">
      <c r="A42" s="17" t="s">
        <v>114</v>
      </c>
      <c r="B42" s="17">
        <v>1800.0</v>
      </c>
      <c r="C42" s="17">
        <v>1850.0</v>
      </c>
      <c r="D42" s="17" t="s">
        <v>43</v>
      </c>
      <c r="E42" s="17" t="s">
        <v>117</v>
      </c>
      <c r="F42" s="17">
        <v>1844.33</v>
      </c>
      <c r="G42" s="17" t="s">
        <v>46</v>
      </c>
      <c r="H42" s="17">
        <v>13.52</v>
      </c>
      <c r="I42" s="17">
        <v>8.0</v>
      </c>
      <c r="J42" s="17">
        <v>21.52</v>
      </c>
      <c r="K42" s="18" t="s">
        <v>137</v>
      </c>
    </row>
    <row r="43" ht="15.75" customHeight="1">
      <c r="A43" s="17" t="s">
        <v>60</v>
      </c>
      <c r="B43" s="17">
        <v>1800.0</v>
      </c>
      <c r="C43" s="17">
        <v>1770.0</v>
      </c>
      <c r="D43" s="17" t="s">
        <v>43</v>
      </c>
      <c r="E43" s="17" t="s">
        <v>125</v>
      </c>
      <c r="F43" s="17">
        <v>2088.11</v>
      </c>
      <c r="G43" s="17" t="s">
        <v>46</v>
      </c>
      <c r="H43" s="17">
        <v>13.52</v>
      </c>
      <c r="I43" s="17">
        <v>8.0</v>
      </c>
      <c r="J43" s="17">
        <v>21.52</v>
      </c>
      <c r="K43" s="18" t="s">
        <v>138</v>
      </c>
    </row>
    <row r="44" ht="15.75" customHeight="1">
      <c r="A44" s="17" t="s">
        <v>114</v>
      </c>
      <c r="B44" s="17">
        <v>1900.0</v>
      </c>
      <c r="C44" s="17">
        <v>1950.0</v>
      </c>
      <c r="D44" s="17" t="s">
        <v>91</v>
      </c>
      <c r="E44" s="17" t="s">
        <v>117</v>
      </c>
      <c r="F44" s="17">
        <v>983.61</v>
      </c>
      <c r="G44" s="17" t="s">
        <v>46</v>
      </c>
      <c r="H44" s="17">
        <v>13.52</v>
      </c>
      <c r="I44" s="17">
        <v>0.0</v>
      </c>
      <c r="J44" s="17">
        <v>13.52</v>
      </c>
      <c r="K44" s="18" t="s">
        <v>95</v>
      </c>
    </row>
    <row r="45" ht="15.75" customHeight="1">
      <c r="A45" s="17" t="s">
        <v>114</v>
      </c>
      <c r="B45" s="17">
        <v>1900.0</v>
      </c>
      <c r="C45" s="17">
        <v>1950.0</v>
      </c>
      <c r="D45" s="17" t="s">
        <v>43</v>
      </c>
      <c r="E45" s="17" t="s">
        <v>117</v>
      </c>
      <c r="F45" s="17">
        <v>1984.93</v>
      </c>
      <c r="G45" s="17" t="s">
        <v>46</v>
      </c>
      <c r="H45" s="17">
        <v>13.52</v>
      </c>
      <c r="I45" s="17">
        <v>8.0</v>
      </c>
      <c r="J45" s="17">
        <v>21.52</v>
      </c>
      <c r="K45" s="18" t="s">
        <v>137</v>
      </c>
    </row>
    <row r="46" ht="15.75" customHeight="1">
      <c r="A46" s="17" t="s">
        <v>60</v>
      </c>
      <c r="B46" s="17">
        <v>1900.0</v>
      </c>
      <c r="C46" s="17">
        <v>1870.0</v>
      </c>
      <c r="D46" s="17" t="s">
        <v>43</v>
      </c>
      <c r="E46" s="17" t="s">
        <v>125</v>
      </c>
      <c r="F46" s="17">
        <v>2293.46</v>
      </c>
      <c r="G46" s="17" t="s">
        <v>46</v>
      </c>
      <c r="H46" s="17">
        <v>13.52</v>
      </c>
      <c r="I46" s="17">
        <v>8.0</v>
      </c>
      <c r="J46" s="17">
        <v>21.52</v>
      </c>
      <c r="K46" s="18" t="s">
        <v>138</v>
      </c>
    </row>
    <row r="47" ht="15.75" customHeight="1">
      <c r="A47" s="17" t="s">
        <v>114</v>
      </c>
      <c r="B47" s="17">
        <v>2000.0</v>
      </c>
      <c r="C47" s="17">
        <v>2050.0</v>
      </c>
      <c r="D47" s="17" t="s">
        <v>91</v>
      </c>
      <c r="E47" s="17" t="s">
        <v>117</v>
      </c>
      <c r="F47" s="17">
        <v>1081.62</v>
      </c>
      <c r="G47" s="17" t="s">
        <v>46</v>
      </c>
      <c r="H47" s="17">
        <v>13.52</v>
      </c>
      <c r="I47" s="17">
        <v>0.0</v>
      </c>
      <c r="J47" s="17">
        <v>13.52</v>
      </c>
      <c r="K47" s="18" t="s">
        <v>95</v>
      </c>
    </row>
    <row r="48" ht="15.75" customHeight="1">
      <c r="A48" s="17" t="s">
        <v>114</v>
      </c>
      <c r="B48" s="17">
        <v>2000.0</v>
      </c>
      <c r="C48" s="17">
        <v>2050.0</v>
      </c>
      <c r="D48" s="17" t="s">
        <v>43</v>
      </c>
      <c r="E48" s="17" t="s">
        <v>117</v>
      </c>
      <c r="F48" s="17">
        <v>2132.93</v>
      </c>
      <c r="G48" s="17" t="s">
        <v>46</v>
      </c>
      <c r="H48" s="17">
        <v>13.52</v>
      </c>
      <c r="I48" s="17">
        <v>8.0</v>
      </c>
      <c r="J48" s="17">
        <v>21.52</v>
      </c>
      <c r="K48" s="18" t="s">
        <v>137</v>
      </c>
    </row>
    <row r="49" ht="15.75" customHeight="1">
      <c r="A49" s="17" t="s">
        <v>60</v>
      </c>
      <c r="B49" s="17">
        <v>2000.0</v>
      </c>
      <c r="C49" s="17">
        <v>1970.0</v>
      </c>
      <c r="D49" s="17" t="s">
        <v>43</v>
      </c>
      <c r="E49" s="17" t="s">
        <v>125</v>
      </c>
      <c r="F49" s="17">
        <v>2504.28</v>
      </c>
      <c r="G49" s="17" t="s">
        <v>46</v>
      </c>
      <c r="H49" s="17">
        <v>13.52</v>
      </c>
      <c r="I49" s="17">
        <v>8.0</v>
      </c>
      <c r="J49" s="17">
        <v>21.52</v>
      </c>
      <c r="K49" s="18" t="s">
        <v>138</v>
      </c>
    </row>
    <row r="50" ht="15.75" customHeight="1">
      <c r="A50" s="17" t="s">
        <v>114</v>
      </c>
      <c r="B50" s="17">
        <v>2100.0</v>
      </c>
      <c r="C50" s="17">
        <v>2150.0</v>
      </c>
      <c r="D50" s="17" t="s">
        <v>91</v>
      </c>
      <c r="E50" s="17" t="s">
        <v>117</v>
      </c>
      <c r="F50" s="17">
        <v>1379.41</v>
      </c>
      <c r="G50" s="17" t="s">
        <v>46</v>
      </c>
      <c r="H50" s="17">
        <v>17.52</v>
      </c>
      <c r="I50" s="17">
        <v>0.0</v>
      </c>
      <c r="J50" s="17">
        <v>17.52</v>
      </c>
      <c r="K50" s="18" t="s">
        <v>139</v>
      </c>
    </row>
    <row r="51" ht="15.75" customHeight="1">
      <c r="A51" s="17" t="s">
        <v>114</v>
      </c>
      <c r="B51" s="17">
        <v>2100.0</v>
      </c>
      <c r="C51" s="17">
        <v>2150.0</v>
      </c>
      <c r="D51" s="17" t="s">
        <v>43</v>
      </c>
      <c r="E51" s="17" t="s">
        <v>117</v>
      </c>
      <c r="F51" s="17">
        <v>2984.59</v>
      </c>
      <c r="G51" s="17" t="s">
        <v>46</v>
      </c>
      <c r="H51" s="17">
        <v>13.52</v>
      </c>
      <c r="I51" s="17">
        <v>13.52</v>
      </c>
      <c r="J51" s="17">
        <v>27.04</v>
      </c>
      <c r="K51" s="18" t="s">
        <v>140</v>
      </c>
    </row>
    <row r="52" ht="15.75" customHeight="1">
      <c r="A52" s="17" t="s">
        <v>60</v>
      </c>
      <c r="B52" s="17">
        <v>2100.0</v>
      </c>
      <c r="C52" s="17">
        <v>2070.0</v>
      </c>
      <c r="D52" s="17" t="s">
        <v>43</v>
      </c>
      <c r="E52" s="17" t="s">
        <v>125</v>
      </c>
      <c r="F52" s="17">
        <v>2726.06</v>
      </c>
      <c r="G52" s="17" t="s">
        <v>46</v>
      </c>
      <c r="H52" s="17">
        <v>13.52</v>
      </c>
      <c r="I52" s="17">
        <v>8.0</v>
      </c>
      <c r="J52" s="17">
        <v>21.52</v>
      </c>
      <c r="K52" s="18" t="s">
        <v>138</v>
      </c>
    </row>
    <row r="53" ht="15.75" customHeight="1">
      <c r="A53" s="17" t="s">
        <v>114</v>
      </c>
      <c r="B53" s="17">
        <v>2200.0</v>
      </c>
      <c r="C53" s="17">
        <v>2250.0</v>
      </c>
      <c r="D53" s="17" t="s">
        <v>91</v>
      </c>
      <c r="E53" s="17" t="s">
        <v>117</v>
      </c>
      <c r="F53" s="17">
        <v>1504.81</v>
      </c>
      <c r="G53" s="17" t="s">
        <v>46</v>
      </c>
      <c r="H53" s="17">
        <v>17.52</v>
      </c>
      <c r="I53" s="17">
        <v>0.0</v>
      </c>
      <c r="J53" s="17">
        <v>17.52</v>
      </c>
      <c r="K53" s="18" t="s">
        <v>139</v>
      </c>
    </row>
    <row r="54" ht="15.75" customHeight="1">
      <c r="A54" s="17" t="s">
        <v>114</v>
      </c>
      <c r="B54" s="17">
        <v>2200.0</v>
      </c>
      <c r="C54" s="17">
        <v>2250.0</v>
      </c>
      <c r="D54" s="17" t="s">
        <v>43</v>
      </c>
      <c r="E54" s="17" t="s">
        <v>117</v>
      </c>
      <c r="F54" s="17">
        <v>3211.19</v>
      </c>
      <c r="G54" s="17" t="s">
        <v>46</v>
      </c>
      <c r="H54" s="17">
        <v>13.52</v>
      </c>
      <c r="I54" s="17">
        <v>13.52</v>
      </c>
      <c r="J54" s="17">
        <v>27.04</v>
      </c>
      <c r="K54" s="18" t="s">
        <v>140</v>
      </c>
    </row>
    <row r="55" ht="15.75" customHeight="1">
      <c r="A55" s="17" t="s">
        <v>60</v>
      </c>
      <c r="B55" s="17">
        <v>2200.0</v>
      </c>
      <c r="C55" s="17">
        <v>2170.0</v>
      </c>
      <c r="D55" s="17" t="s">
        <v>43</v>
      </c>
      <c r="E55" s="17" t="s">
        <v>125</v>
      </c>
      <c r="F55" s="17">
        <v>2957.01</v>
      </c>
      <c r="G55" s="17" t="s">
        <v>46</v>
      </c>
      <c r="H55" s="17">
        <v>13.52</v>
      </c>
      <c r="I55" s="17">
        <v>13.52</v>
      </c>
      <c r="J55" s="17">
        <v>27.04</v>
      </c>
      <c r="K55" s="18" t="s">
        <v>141</v>
      </c>
    </row>
    <row r="56" ht="15.75" customHeight="1">
      <c r="A56" s="17" t="s">
        <v>114</v>
      </c>
      <c r="B56" s="17">
        <v>2300.0</v>
      </c>
      <c r="C56" s="17">
        <v>2350.0</v>
      </c>
      <c r="D56" s="17" t="s">
        <v>91</v>
      </c>
      <c r="E56" s="17" t="s">
        <v>117</v>
      </c>
      <c r="F56" s="17">
        <v>1635.91</v>
      </c>
      <c r="G56" s="17" t="s">
        <v>46</v>
      </c>
      <c r="H56" s="17">
        <v>17.52</v>
      </c>
      <c r="I56" s="17">
        <v>0.0</v>
      </c>
      <c r="J56" s="17">
        <v>17.52</v>
      </c>
      <c r="K56" s="18" t="s">
        <v>139</v>
      </c>
    </row>
    <row r="57" ht="15.75" customHeight="1">
      <c r="A57" s="17" t="s">
        <v>114</v>
      </c>
      <c r="B57" s="17">
        <v>2300.0</v>
      </c>
      <c r="C57" s="17">
        <v>2350.0</v>
      </c>
      <c r="D57" s="17" t="s">
        <v>43</v>
      </c>
      <c r="E57" s="17" t="s">
        <v>117</v>
      </c>
      <c r="F57" s="17">
        <v>3448.09</v>
      </c>
      <c r="G57" s="17" t="s">
        <v>46</v>
      </c>
      <c r="H57" s="17">
        <v>13.52</v>
      </c>
      <c r="I57" s="17">
        <v>13.52</v>
      </c>
      <c r="J57" s="17">
        <v>27.04</v>
      </c>
      <c r="K57" s="18" t="s">
        <v>140</v>
      </c>
    </row>
    <row r="58" ht="15.75" customHeight="1">
      <c r="A58" s="17" t="s">
        <v>60</v>
      </c>
      <c r="B58" s="17">
        <v>2300.0</v>
      </c>
      <c r="C58" s="17">
        <v>2270.0</v>
      </c>
      <c r="D58" s="17" t="s">
        <v>43</v>
      </c>
      <c r="E58" s="17" t="s">
        <v>125</v>
      </c>
      <c r="F58" s="17">
        <v>3205.06</v>
      </c>
      <c r="G58" s="17" t="s">
        <v>46</v>
      </c>
      <c r="H58" s="17">
        <v>13.52</v>
      </c>
      <c r="I58" s="17">
        <v>13.52</v>
      </c>
      <c r="J58" s="17">
        <v>27.04</v>
      </c>
      <c r="K58" s="18" t="s">
        <v>141</v>
      </c>
    </row>
    <row r="59" ht="15.75" customHeight="1">
      <c r="A59" s="17" t="s">
        <v>114</v>
      </c>
      <c r="B59" s="17">
        <v>2400.0</v>
      </c>
      <c r="C59" s="17">
        <v>2450.0</v>
      </c>
      <c r="D59" s="17" t="s">
        <v>91</v>
      </c>
      <c r="E59" s="17" t="s">
        <v>117</v>
      </c>
      <c r="F59" s="17">
        <v>2114.86</v>
      </c>
      <c r="G59" s="17" t="s">
        <v>46</v>
      </c>
      <c r="H59" s="17">
        <v>17.52</v>
      </c>
      <c r="I59" s="17">
        <v>0.0</v>
      </c>
      <c r="J59" s="17">
        <v>17.52</v>
      </c>
      <c r="K59" s="18" t="s">
        <v>139</v>
      </c>
    </row>
    <row r="60" ht="15.75" customHeight="1">
      <c r="A60" s="17" t="s">
        <v>114</v>
      </c>
      <c r="B60" s="17">
        <v>2400.0</v>
      </c>
      <c r="C60" s="17">
        <v>2450.0</v>
      </c>
      <c r="D60" s="17" t="s">
        <v>43</v>
      </c>
      <c r="E60" s="17" t="s">
        <v>117</v>
      </c>
      <c r="F60" s="17">
        <v>4313.55</v>
      </c>
      <c r="G60" s="17" t="s">
        <v>46</v>
      </c>
      <c r="H60" s="17">
        <v>13.52</v>
      </c>
      <c r="I60" s="17">
        <v>13.52</v>
      </c>
      <c r="J60" s="17">
        <v>27.04</v>
      </c>
      <c r="K60" s="18" t="s">
        <v>140</v>
      </c>
    </row>
    <row r="61" ht="15.75" customHeight="1">
      <c r="A61" s="17" t="s">
        <v>60</v>
      </c>
      <c r="B61" s="17">
        <v>2400.0</v>
      </c>
      <c r="C61" s="17">
        <v>2370.0</v>
      </c>
      <c r="D61" s="17" t="s">
        <v>43</v>
      </c>
      <c r="E61" s="17" t="s">
        <v>125</v>
      </c>
      <c r="F61" s="17">
        <v>5392.22</v>
      </c>
      <c r="G61" s="17" t="s">
        <v>46</v>
      </c>
      <c r="H61" s="17">
        <v>13.52</v>
      </c>
      <c r="I61" s="17">
        <v>13.52</v>
      </c>
      <c r="J61" s="17">
        <v>27.04</v>
      </c>
      <c r="K61" s="18" t="s">
        <v>141</v>
      </c>
    </row>
    <row r="62" ht="15.75" customHeight="1">
      <c r="A62" s="17" t="s">
        <v>114</v>
      </c>
      <c r="B62" s="17">
        <v>2500.0</v>
      </c>
      <c r="C62" s="17">
        <v>2550.0</v>
      </c>
      <c r="D62" s="17" t="s">
        <v>91</v>
      </c>
      <c r="E62" s="17" t="s">
        <v>117</v>
      </c>
      <c r="F62" s="17">
        <v>2285.86</v>
      </c>
      <c r="G62" s="17" t="s">
        <v>46</v>
      </c>
      <c r="H62" s="17">
        <v>17.52</v>
      </c>
      <c r="I62" s="17">
        <v>0.0</v>
      </c>
      <c r="J62" s="17">
        <v>17.52</v>
      </c>
      <c r="K62" s="18" t="s">
        <v>139</v>
      </c>
    </row>
    <row r="63" ht="15.75" customHeight="1">
      <c r="A63" s="17" t="s">
        <v>114</v>
      </c>
      <c r="B63" s="17">
        <v>2500.0</v>
      </c>
      <c r="C63" s="17">
        <v>2550.0</v>
      </c>
      <c r="D63" s="17" t="s">
        <v>43</v>
      </c>
      <c r="E63" s="17" t="s">
        <v>117</v>
      </c>
      <c r="F63" s="17">
        <v>4622.55</v>
      </c>
      <c r="G63" s="17" t="s">
        <v>46</v>
      </c>
      <c r="H63" s="17">
        <v>13.52</v>
      </c>
      <c r="I63" s="17">
        <v>13.52</v>
      </c>
      <c r="J63" s="17">
        <v>27.04</v>
      </c>
      <c r="K63" s="18" t="s">
        <v>140</v>
      </c>
    </row>
    <row r="64" ht="15.75" customHeight="1">
      <c r="A64" s="17" t="s">
        <v>60</v>
      </c>
      <c r="B64" s="17">
        <v>2500.0</v>
      </c>
      <c r="C64" s="17">
        <v>2570.0</v>
      </c>
      <c r="D64" s="17" t="s">
        <v>43</v>
      </c>
      <c r="E64" s="17" t="s">
        <v>125</v>
      </c>
      <c r="F64" s="17">
        <v>5826.76</v>
      </c>
      <c r="G64" s="17" t="s">
        <v>46</v>
      </c>
      <c r="H64" s="17">
        <v>13.52</v>
      </c>
      <c r="I64" s="17">
        <v>13.52</v>
      </c>
      <c r="J64" s="17">
        <v>27.04</v>
      </c>
      <c r="K64" s="18" t="s">
        <v>141</v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customSheetViews>
    <customSheetView guid="{C33F59DB-3503-4537-8C76-24D61D887C6E}" filter="1" showAutoFilter="1">
      <autoFilter ref="$A$1:$K$64"/>
      <extLst>
        <ext uri="GoogleSheetsCustomDataVersion1">
          <go:sheetsCustomData xmlns:go="http://customooxmlschemas.google.com/" filterViewId="1784635608"/>
        </ext>
      </extLst>
    </customSheetView>
  </customSheetView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2026-07-23T01:17:51Z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0x0101001E9480944FDF4B4D8F99CD1C5A2E0619</vt:lpwstr>
  </property>
  <property fmtid="{D5CDD505-2E9C-101B-9397-08002B2CF9AE}" pid="3" name="MediaServiceImageTags">
    <vt:lpwstr/>
  </property>
</Properties>
</file>